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Satis_Verileri" sheetId="2" state="visible" r:id="rId2"/>
    <sheet name="Calisanlar" sheetId="3" state="visible" r:id="rId3"/>
    <sheet name="Stok_Takip" sheetId="4" state="visible" r:id="rId4"/>
    <sheet name="Hedef_Takip" sheetId="5" state="visible" r:id="rId5"/>
    <sheet name="MAKROLAR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5">
    <numFmt numFmtId="164" formatCode="#,##0.00 ₺"/>
    <numFmt numFmtId="165" formatCode="0.0%"/>
    <numFmt numFmtId="166" formatCode="000"/>
    <numFmt numFmtId="167" formatCode="yyyy-mm-dd"/>
    <numFmt numFmtId="168" formatCode="DD/MM/YYYY"/>
  </numFmts>
  <fonts count="20">
    <font>
      <name val="Calibri"/>
      <family val="2"/>
      <color theme="1"/>
      <sz val="11"/>
      <scheme val="minor"/>
    </font>
    <font>
      <name val="Calibri"/>
      <b val="1"/>
      <color rgb="00FFFFFF"/>
      <sz val="20"/>
    </font>
    <font>
      <name val="Calibri"/>
      <b val="1"/>
      <color rgb="00FFFFFF"/>
      <sz val="11"/>
    </font>
    <font>
      <name val="Calibri"/>
      <b val="1"/>
      <color rgb="00FFFFFF"/>
      <sz val="12"/>
    </font>
    <font>
      <name val="Calibri"/>
      <b val="1"/>
      <color rgb="00000000"/>
      <sz val="10"/>
    </font>
    <font>
      <name val="Calibri"/>
      <color rgb="00000000"/>
      <sz val="10"/>
    </font>
    <font>
      <name val="Calibri"/>
      <b val="1"/>
      <color rgb="001E5631"/>
      <sz val="10"/>
    </font>
    <font>
      <name val="Calibri"/>
      <b val="1"/>
      <color rgb="00FFFFFF"/>
      <sz val="10"/>
    </font>
    <font>
      <name val="Calibri"/>
      <b val="1"/>
      <color rgb="001E5631"/>
      <sz val="9"/>
    </font>
    <font>
      <name val="Calibri"/>
      <b val="1"/>
      <color rgb="00C00000"/>
      <sz val="10"/>
    </font>
    <font>
      <name val="Calibri"/>
      <b val="1"/>
      <color rgb="00ED7D31"/>
      <sz val="9"/>
    </font>
    <font>
      <name val="Calibri"/>
      <b val="1"/>
      <color rgb="001E5631"/>
      <sz val="11"/>
    </font>
    <font>
      <name val="Calibri"/>
      <b val="1"/>
      <color rgb="00C00000"/>
      <sz val="11"/>
    </font>
    <font>
      <name val="Calibri"/>
      <b val="1"/>
      <color rgb="00C00000"/>
      <sz val="9"/>
    </font>
    <font>
      <name val="Calibri"/>
      <b val="1"/>
      <color rgb="00C9A84C"/>
      <sz val="9"/>
    </font>
    <font>
      <name val="Calibri"/>
      <b val="1"/>
      <color rgb="00FFFFFF"/>
    </font>
    <font>
      <name val="Calibri"/>
      <b val="1"/>
      <color rgb="00FFFFFF"/>
      <sz val="18"/>
    </font>
    <font>
      <name val="Calibri"/>
      <i val="1"/>
      <color rgb="00595959"/>
      <sz val="10"/>
    </font>
    <font>
      <name val="Calibri"/>
      <color rgb="00595959"/>
      <sz val="10"/>
    </font>
    <font>
      <name val="Calibri"/>
      <color rgb="001F4E79"/>
      <sz val="10"/>
    </font>
  </fonts>
  <fills count="17">
    <fill>
      <patternFill/>
    </fill>
    <fill>
      <patternFill patternType="gray125"/>
    </fill>
    <fill>
      <patternFill patternType="solid">
        <fgColor rgb="001F4E79"/>
      </patternFill>
    </fill>
    <fill>
      <patternFill patternType="solid">
        <fgColor rgb="002E75B6"/>
      </patternFill>
    </fill>
    <fill>
      <patternFill patternType="solid">
        <fgColor rgb="001E5631"/>
      </patternFill>
    </fill>
    <fill>
      <patternFill patternType="solid">
        <fgColor rgb="007B2C8B"/>
      </patternFill>
    </fill>
    <fill>
      <patternFill patternType="solid">
        <fgColor rgb="00C9A84C"/>
      </patternFill>
    </fill>
    <fill>
      <patternFill patternType="solid">
        <fgColor rgb="00DEEAF1"/>
      </patternFill>
    </fill>
    <fill>
      <patternFill patternType="solid">
        <fgColor rgb="00E2EFDA"/>
      </patternFill>
    </fill>
    <fill>
      <patternFill patternType="solid">
        <fgColor rgb="00FFFFFF"/>
      </patternFill>
    </fill>
    <fill>
      <patternFill patternType="solid">
        <fgColor rgb="00FFE7E7"/>
      </patternFill>
    </fill>
    <fill>
      <patternFill patternType="solid">
        <fgColor rgb="00ED7D31"/>
      </patternFill>
    </fill>
    <fill>
      <patternFill patternType="solid">
        <fgColor rgb="00FFF2CC"/>
      </patternFill>
    </fill>
    <fill>
      <patternFill patternType="solid">
        <fgColor rgb="00BDD7EE"/>
      </patternFill>
    </fill>
    <fill>
      <patternFill patternType="solid">
        <fgColor rgb="00F2F2F2"/>
      </patternFill>
    </fill>
    <fill>
      <patternFill patternType="solid">
        <fgColor rgb="00C00000"/>
      </patternFill>
    </fill>
    <fill>
      <patternFill patternType="solid">
        <fgColor rgb="00595959"/>
      </patternFill>
    </fill>
  </fills>
  <borders count="3">
    <border>
      <left/>
      <right/>
      <top/>
      <bottom/>
      <diagonal/>
    </border>
    <border>
      <left style="medium"/>
      <right style="medium"/>
      <top style="medium"/>
      <bottom style="medium"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68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1" applyAlignment="1" pivotButton="0" quotePrefix="0" xfId="0">
      <alignment horizontal="center" vertical="center" wrapText="1"/>
    </xf>
    <xf numFmtId="0" fontId="2" fillId="4" borderId="1" applyAlignment="1" pivotButton="0" quotePrefix="0" xfId="0">
      <alignment horizontal="center" vertical="center" wrapText="1"/>
    </xf>
    <xf numFmtId="0" fontId="2" fillId="5" borderId="1" applyAlignment="1" pivotButton="0" quotePrefix="0" xfId="0">
      <alignment horizontal="center" vertical="center" wrapText="1"/>
    </xf>
    <xf numFmtId="0" fontId="2" fillId="6" borderId="1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 wrapText="1"/>
    </xf>
    <xf numFmtId="0" fontId="4" fillId="7" borderId="2" applyAlignment="1" pivotButton="0" quotePrefix="0" xfId="0">
      <alignment horizontal="left" vertical="center"/>
    </xf>
    <xf numFmtId="164" fontId="5" fillId="7" borderId="2" applyAlignment="1" pivotButton="0" quotePrefix="0" xfId="0">
      <alignment horizontal="center" vertical="center"/>
    </xf>
    <xf numFmtId="164" fontId="6" fillId="8" borderId="2" applyAlignment="1" pivotButton="0" quotePrefix="0" xfId="0">
      <alignment horizontal="center" vertical="center"/>
    </xf>
    <xf numFmtId="165" fontId="7" fillId="4" borderId="2" applyAlignment="1" pivotButton="0" quotePrefix="0" xfId="0">
      <alignment horizontal="center" vertical="center"/>
    </xf>
    <xf numFmtId="0" fontId="5" fillId="7" borderId="2" applyAlignment="1" pivotButton="0" quotePrefix="0" xfId="0">
      <alignment horizontal="left" vertical="center"/>
    </xf>
    <xf numFmtId="0" fontId="8" fillId="8" borderId="2" applyAlignment="1" pivotButton="0" quotePrefix="0" xfId="0">
      <alignment horizontal="center" vertical="center"/>
    </xf>
    <xf numFmtId="0" fontId="4" fillId="9" borderId="2" applyAlignment="1" pivotButton="0" quotePrefix="0" xfId="0">
      <alignment horizontal="left" vertical="center"/>
    </xf>
    <xf numFmtId="164" fontId="5" fillId="9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left" vertical="center"/>
    </xf>
    <xf numFmtId="164" fontId="9" fillId="10" borderId="2" applyAlignment="1" pivotButton="0" quotePrefix="0" xfId="0">
      <alignment horizontal="center" vertical="center"/>
    </xf>
    <xf numFmtId="165" fontId="7" fillId="11" borderId="2" applyAlignment="1" pivotButton="0" quotePrefix="0" xfId="0">
      <alignment horizontal="center" vertical="center"/>
    </xf>
    <xf numFmtId="0" fontId="10" fillId="12" borderId="2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164" fontId="2" fillId="2" borderId="1" applyAlignment="1" pivotButton="0" quotePrefix="0" xfId="0">
      <alignment horizontal="center" vertical="center"/>
    </xf>
    <xf numFmtId="165" fontId="2" fillId="2" borderId="1" applyAlignment="1" pivotButton="0" quotePrefix="0" xfId="0">
      <alignment horizontal="center" vertical="center"/>
    </xf>
    <xf numFmtId="166" fontId="5" fillId="7" borderId="2" applyAlignment="1" pivotButton="0" quotePrefix="0" xfId="0">
      <alignment horizontal="center" vertical="center"/>
    </xf>
    <xf numFmtId="0" fontId="5" fillId="7" borderId="2" applyAlignment="1" pivotButton="0" quotePrefix="0" xfId="0">
      <alignment horizontal="center" vertical="center"/>
    </xf>
    <xf numFmtId="3" fontId="5" fillId="7" borderId="2" applyAlignment="1" pivotButton="0" quotePrefix="0" xfId="0">
      <alignment horizontal="center" vertical="center"/>
    </xf>
    <xf numFmtId="166" fontId="5" fillId="9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3" fontId="5" fillId="9" borderId="2" applyAlignment="1" pivotButton="0" quotePrefix="0" xfId="0">
      <alignment horizontal="center" vertical="center"/>
    </xf>
    <xf numFmtId="168" fontId="5" fillId="7" borderId="2" applyAlignment="1" pivotButton="0" quotePrefix="0" xfId="0">
      <alignment horizontal="center" vertical="center"/>
    </xf>
    <xf numFmtId="168" fontId="5" fillId="9" borderId="2" applyAlignment="1" pivotButton="0" quotePrefix="0" xfId="0">
      <alignment horizontal="center" vertical="center"/>
    </xf>
    <xf numFmtId="0" fontId="5" fillId="8" borderId="2" applyAlignment="1" pivotButton="0" quotePrefix="0" xfId="0">
      <alignment horizontal="center" vertical="center"/>
    </xf>
    <xf numFmtId="0" fontId="4" fillId="8" borderId="2" applyAlignment="1" pivotButton="0" quotePrefix="0" xfId="0">
      <alignment horizontal="left" vertical="center"/>
    </xf>
    <xf numFmtId="3" fontId="11" fillId="8" borderId="2" applyAlignment="1" pivotButton="0" quotePrefix="0" xfId="0">
      <alignment horizontal="center" vertical="center"/>
    </xf>
    <xf numFmtId="3" fontId="5" fillId="8" borderId="2" applyAlignment="1" pivotButton="0" quotePrefix="0" xfId="0">
      <alignment horizontal="center" vertical="center"/>
    </xf>
    <xf numFmtId="164" fontId="5" fillId="8" borderId="2" applyAlignment="1" pivotButton="0" quotePrefix="0" xfId="0">
      <alignment horizontal="center" vertical="center"/>
    </xf>
    <xf numFmtId="164" fontId="4" fillId="8" borderId="2" applyAlignment="1" pivotButton="0" quotePrefix="0" xfId="0">
      <alignment horizontal="center" vertical="center"/>
    </xf>
    <xf numFmtId="0" fontId="5" fillId="10" borderId="2" applyAlignment="1" pivotButton="0" quotePrefix="0" xfId="0">
      <alignment horizontal="center" vertical="center"/>
    </xf>
    <xf numFmtId="0" fontId="4" fillId="10" borderId="2" applyAlignment="1" pivotButton="0" quotePrefix="0" xfId="0">
      <alignment horizontal="left" vertical="center"/>
    </xf>
    <xf numFmtId="3" fontId="12" fillId="10" borderId="2" applyAlignment="1" pivotButton="0" quotePrefix="0" xfId="0">
      <alignment horizontal="center" vertical="center"/>
    </xf>
    <xf numFmtId="3" fontId="5" fillId="10" borderId="2" applyAlignment="1" pivotButton="0" quotePrefix="0" xfId="0">
      <alignment horizontal="center" vertical="center"/>
    </xf>
    <xf numFmtId="164" fontId="5" fillId="10" borderId="2" applyAlignment="1" pivotButton="0" quotePrefix="0" xfId="0">
      <alignment horizontal="center" vertical="center"/>
    </xf>
    <xf numFmtId="164" fontId="4" fillId="10" borderId="2" applyAlignment="1" pivotButton="0" quotePrefix="0" xfId="0">
      <alignment horizontal="center" vertical="center"/>
    </xf>
    <xf numFmtId="0" fontId="13" fillId="10" borderId="2" applyAlignment="1" pivotButton="0" quotePrefix="0" xfId="0">
      <alignment horizontal="center" vertical="center"/>
    </xf>
    <xf numFmtId="0" fontId="5" fillId="12" borderId="2" applyAlignment="1" pivotButton="0" quotePrefix="0" xfId="0">
      <alignment horizontal="center" vertical="center"/>
    </xf>
    <xf numFmtId="0" fontId="4" fillId="12" borderId="2" applyAlignment="1" pivotButton="0" quotePrefix="0" xfId="0">
      <alignment horizontal="left" vertical="center"/>
    </xf>
    <xf numFmtId="3" fontId="11" fillId="12" borderId="2" applyAlignment="1" pivotButton="0" quotePrefix="0" xfId="0">
      <alignment horizontal="center" vertical="center"/>
    </xf>
    <xf numFmtId="3" fontId="5" fillId="12" borderId="2" applyAlignment="1" pivotButton="0" quotePrefix="0" xfId="0">
      <alignment horizontal="center" vertical="center"/>
    </xf>
    <xf numFmtId="164" fontId="5" fillId="12" borderId="2" applyAlignment="1" pivotButton="0" quotePrefix="0" xfId="0">
      <alignment horizontal="center" vertical="center"/>
    </xf>
    <xf numFmtId="164" fontId="4" fillId="12" borderId="2" applyAlignment="1" pivotButton="0" quotePrefix="0" xfId="0">
      <alignment horizontal="center" vertical="center"/>
    </xf>
    <xf numFmtId="0" fontId="14" fillId="12" borderId="2" applyAlignment="1" pivotButton="0" quotePrefix="0" xfId="0">
      <alignment horizontal="center" vertical="center"/>
    </xf>
    <xf numFmtId="0" fontId="8" fillId="12" borderId="2" applyAlignment="1" pivotButton="0" quotePrefix="0" xfId="0">
      <alignment horizontal="center" vertical="center"/>
    </xf>
    <xf numFmtId="0" fontId="15" fillId="2" borderId="0" applyAlignment="1" pivotButton="0" quotePrefix="0" xfId="0">
      <alignment horizontal="right" vertical="center"/>
    </xf>
    <xf numFmtId="164" fontId="2" fillId="2" borderId="0" applyAlignment="1" pivotButton="0" quotePrefix="0" xfId="0">
      <alignment horizontal="center" vertical="center"/>
    </xf>
    <xf numFmtId="164" fontId="4" fillId="7" borderId="2" applyAlignment="1" pivotButton="0" quotePrefix="0" xfId="0">
      <alignment horizontal="center" vertical="center"/>
    </xf>
    <xf numFmtId="164" fontId="4" fillId="9" borderId="2" applyAlignment="1" pivotButton="0" quotePrefix="0" xfId="0">
      <alignment horizontal="center" vertical="center"/>
    </xf>
    <xf numFmtId="0" fontId="16" fillId="2" borderId="0" applyAlignment="1" pivotButton="0" quotePrefix="0" xfId="0">
      <alignment horizontal="center" vertical="center"/>
    </xf>
    <xf numFmtId="0" fontId="17" fillId="13" borderId="0" applyAlignment="1" pivotButton="0" quotePrefix="0" xfId="0">
      <alignment horizontal="center" vertical="center"/>
    </xf>
    <xf numFmtId="0" fontId="3" fillId="3" borderId="1" applyAlignment="1" pivotButton="0" quotePrefix="0" xfId="0">
      <alignment horizontal="center" vertical="center"/>
    </xf>
    <xf numFmtId="0" fontId="18" fillId="14" borderId="2" applyAlignment="1" pivotButton="0" quotePrefix="0" xfId="0">
      <alignment horizontal="left" vertical="center" wrapText="1" indent="1"/>
    </xf>
    <xf numFmtId="0" fontId="3" fillId="4" borderId="1" applyAlignment="1" pivotButton="0" quotePrefix="0" xfId="0">
      <alignment horizontal="center" vertical="center"/>
    </xf>
    <xf numFmtId="0" fontId="3" fillId="15" borderId="1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5" borderId="1" applyAlignment="1" pivotButton="0" quotePrefix="0" xfId="0">
      <alignment horizontal="center" vertical="center"/>
    </xf>
    <xf numFmtId="0" fontId="3" fillId="16" borderId="1" applyAlignment="1" pivotButton="0" quotePrefix="0" xfId="0">
      <alignment horizontal="center" vertical="center"/>
    </xf>
    <xf numFmtId="0" fontId="3" fillId="6" borderId="0" applyAlignment="1" pivotButton="0" quotePrefix="0" xfId="0">
      <alignment horizontal="center" vertical="center"/>
    </xf>
    <xf numFmtId="0" fontId="19" fillId="7" borderId="2" applyAlignment="1" pivotButton="0" quotePrefix="0" xfId="0">
      <alignment horizontal="left" vertical="center" indent="1"/>
    </xf>
    <xf numFmtId="0" fontId="19" fillId="9" borderId="2" applyAlignment="1" pivotButton="0" quotePrefix="0" xfId="0">
      <alignment horizontal="left" vertical="center" inden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tables/table1.xml><?xml version="1.0" encoding="utf-8"?>
<table xmlns="http://schemas.openxmlformats.org/spreadsheetml/2006/main" id="1" name="SatisTablosu" displayName="SatisTablosu" ref="A1:H121" headerRowCount="1">
  <autoFilter ref="A1:H121"/>
  <tableColumns count="8">
    <tableColumn id="1" name="#"/>
    <tableColumn id="2" name="Satışçı Adı"/>
    <tableColumn id="3" name="Ay"/>
    <tableColumn id="4" name="Ürün Kategorisi"/>
    <tableColumn id="5" name="Adet"/>
    <tableColumn id="6" name="Toplam (₺)"/>
    <tableColumn id="7" name="Birim Fiyat (₺)"/>
    <tableColumn id="8" name="Komisyon (₺)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CalisanTablosu" displayName="CalisanTablosu" ref="A1:I21" headerRowCount="1">
  <autoFilter ref="A1:I21"/>
  <tableColumns count="9">
    <tableColumn id="1" name="#"/>
    <tableColumn id="2" name="Ad Soyad"/>
    <tableColumn id="3" name="Departman"/>
    <tableColumn id="4" name="Pozisyon"/>
    <tableColumn id="5" name="İşe Giriş"/>
    <tableColumn id="6" name="Maaş (₺)"/>
    <tableColumn id="7" name="Prim (₺)"/>
    <tableColumn id="8" name="Toplam (₺)"/>
    <tableColumn id="9" name="Performans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Q25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13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</cols>
  <sheetData>
    <row r="1" ht="8" customHeight="1"/>
    <row r="2" ht="50" customHeight="1">
      <c r="B2" s="1" t="inlineStr">
        <is>
          <t>🏢  KURUMSAL SATIŞ YÖNETİM SİSTEMİ — DASHBOARD</t>
        </is>
      </c>
    </row>
    <row r="3" ht="8" customHeight="1"/>
    <row r="4" ht="8" customHeight="1"/>
    <row r="5" ht="20" customHeight="1">
      <c r="B5" s="2" t="inlineStr">
        <is>
          <t>💰 TOPLAM SATIŞ
=SUM(Satis_Verileri!F2:F121)</t>
        </is>
      </c>
      <c r="F5" s="3" t="inlineStr">
        <is>
          <t>📦 TOPLAM SİPARİŞ
=SUM(Satis_Verileri!E2:E121)</t>
        </is>
      </c>
      <c r="J5" s="4" t="inlineStr">
        <is>
          <t>👥 AKTİF SATIŞÇI
=COUNTA(Calisanlar!B2:B21)</t>
        </is>
      </c>
      <c r="N5" s="5" t="inlineStr">
        <is>
          <t>📊 ORT. SATIŞ/KİŞİ
=SUM(Satis_Verileri!F2:F121)/COUNTA(Calisanlar!B2:B21)</t>
        </is>
      </c>
    </row>
    <row r="6" ht="20" customHeight="1"/>
    <row r="7" ht="20" customHeight="1"/>
    <row r="8" ht="20" customHeight="1"/>
    <row r="10" ht="8" customHeight="1"/>
    <row r="11">
      <c r="B11" s="6" t="inlineStr">
        <is>
          <t>📋 AYLIK SATIŞ ÖZETİ</t>
        </is>
      </c>
    </row>
    <row r="12" ht="22" customHeight="1">
      <c r="B12" s="7" t="inlineStr">
        <is>
          <t>Ay</t>
        </is>
      </c>
      <c r="C12" s="7" t="inlineStr">
        <is>
          <t>Hedef (₺)</t>
        </is>
      </c>
      <c r="D12" s="7" t="inlineStr">
        <is>
          <t>Gerçekleşen (₺)</t>
        </is>
      </c>
      <c r="E12" s="7" t="inlineStr">
        <is>
          <t>Fark (₺)</t>
        </is>
      </c>
      <c r="F12" s="7" t="inlineStr">
        <is>
          <t>Başarı %</t>
        </is>
      </c>
      <c r="G12" s="7" t="inlineStr">
        <is>
          <t>En İyi Ürün</t>
        </is>
      </c>
      <c r="H12" s="7" t="inlineStr">
        <is>
          <t>Durum</t>
        </is>
      </c>
    </row>
    <row r="13" ht="18" customHeight="1">
      <c r="B13" s="8" t="inlineStr">
        <is>
          <t>Ocak</t>
        </is>
      </c>
      <c r="C13" s="9" t="n">
        <v>850000</v>
      </c>
      <c r="D13" s="9" t="n">
        <v>887615</v>
      </c>
      <c r="E13" s="10" t="n">
        <v>37615</v>
      </c>
      <c r="F13" s="11" t="n">
        <v>1.04425294117647</v>
      </c>
      <c r="G13" s="12" t="inlineStr">
        <is>
          <t>Tarayıcı</t>
        </is>
      </c>
      <c r="H13" s="13" t="inlineStr">
        <is>
          <t>✅ Hedef Aşıldı</t>
        </is>
      </c>
    </row>
    <row r="14" ht="18" customHeight="1">
      <c r="B14" s="14" t="inlineStr">
        <is>
          <t>Şubat</t>
        </is>
      </c>
      <c r="C14" s="15" t="n">
        <v>920000</v>
      </c>
      <c r="D14" s="15" t="n">
        <v>956378</v>
      </c>
      <c r="E14" s="10" t="n">
        <v>36378</v>
      </c>
      <c r="F14" s="11" t="n">
        <v>1.039541304347826</v>
      </c>
      <c r="G14" s="16" t="inlineStr">
        <is>
          <t>Telefon</t>
        </is>
      </c>
      <c r="H14" s="13" t="inlineStr">
        <is>
          <t>✅ Hedef Aşıldı</t>
        </is>
      </c>
    </row>
    <row r="15" ht="18" customHeight="1">
      <c r="B15" s="8" t="inlineStr">
        <is>
          <t>Mart</t>
        </is>
      </c>
      <c r="C15" s="9" t="n">
        <v>780000</v>
      </c>
      <c r="D15" s="9" t="n">
        <v>861908</v>
      </c>
      <c r="E15" s="10" t="n">
        <v>81908</v>
      </c>
      <c r="F15" s="11" t="n">
        <v>1.105010256410256</v>
      </c>
      <c r="G15" s="12" t="inlineStr">
        <is>
          <t>Laptop</t>
        </is>
      </c>
      <c r="H15" s="13" t="inlineStr">
        <is>
          <t>✅ Hedef Aşıldı</t>
        </is>
      </c>
    </row>
    <row r="16" ht="18" customHeight="1">
      <c r="B16" s="14" t="inlineStr">
        <is>
          <t>Nisan</t>
        </is>
      </c>
      <c r="C16" s="15" t="n">
        <v>1050000</v>
      </c>
      <c r="D16" s="15" t="n">
        <v>1042769</v>
      </c>
      <c r="E16" s="17" t="n">
        <v>-7231</v>
      </c>
      <c r="F16" s="18" t="n">
        <v>0.9931133333333333</v>
      </c>
      <c r="G16" s="16" t="inlineStr">
        <is>
          <t>Mouse</t>
        </is>
      </c>
      <c r="H16" s="19" t="inlineStr">
        <is>
          <t>⚠️ Yakın</t>
        </is>
      </c>
    </row>
    <row r="17" ht="18" customHeight="1">
      <c r="B17" s="8" t="inlineStr">
        <is>
          <t>Mayıs</t>
        </is>
      </c>
      <c r="C17" s="9" t="n">
        <v>980000</v>
      </c>
      <c r="D17" s="9" t="n">
        <v>1128527</v>
      </c>
      <c r="E17" s="10" t="n">
        <v>148527</v>
      </c>
      <c r="F17" s="11" t="n">
        <v>1.151558163265306</v>
      </c>
      <c r="G17" s="12" t="inlineStr">
        <is>
          <t>Monitör</t>
        </is>
      </c>
      <c r="H17" s="13" t="inlineStr">
        <is>
          <t>✅ Hedef Aşıldı</t>
        </is>
      </c>
    </row>
    <row r="18" ht="18" customHeight="1">
      <c r="B18" s="14" t="inlineStr">
        <is>
          <t>Haziran</t>
        </is>
      </c>
      <c r="C18" s="15" t="n">
        <v>1120000</v>
      </c>
      <c r="D18" s="15" t="n">
        <v>1122423</v>
      </c>
      <c r="E18" s="10" t="n">
        <v>2423</v>
      </c>
      <c r="F18" s="11" t="n">
        <v>1.002163392857143</v>
      </c>
      <c r="G18" s="16" t="inlineStr">
        <is>
          <t>Tablet</t>
        </is>
      </c>
      <c r="H18" s="13" t="inlineStr">
        <is>
          <t>✅ Hedef Aşıldı</t>
        </is>
      </c>
    </row>
    <row r="19" ht="18" customHeight="1">
      <c r="B19" s="8" t="inlineStr">
        <is>
          <t>Temmuz</t>
        </is>
      </c>
      <c r="C19" s="9" t="n">
        <v>890000</v>
      </c>
      <c r="D19" s="9" t="n">
        <v>837222</v>
      </c>
      <c r="E19" s="17" t="n">
        <v>-52778</v>
      </c>
      <c r="F19" s="18" t="n">
        <v>0.9406988764044943</v>
      </c>
      <c r="G19" s="12" t="inlineStr">
        <is>
          <t>Tablet</t>
        </is>
      </c>
      <c r="H19" s="19" t="inlineStr">
        <is>
          <t>⚠️ Yakın</t>
        </is>
      </c>
    </row>
    <row r="20" ht="18" customHeight="1">
      <c r="B20" s="14" t="inlineStr">
        <is>
          <t>Ağustos</t>
        </is>
      </c>
      <c r="C20" s="15" t="n">
        <v>960000</v>
      </c>
      <c r="D20" s="15" t="n">
        <v>1062155</v>
      </c>
      <c r="E20" s="10" t="n">
        <v>102155</v>
      </c>
      <c r="F20" s="11" t="n">
        <v>1.106411458333333</v>
      </c>
      <c r="G20" s="16" t="inlineStr">
        <is>
          <t>Mouse</t>
        </is>
      </c>
      <c r="H20" s="13" t="inlineStr">
        <is>
          <t>✅ Hedef Aşıldı</t>
        </is>
      </c>
    </row>
    <row r="21" ht="18" customHeight="1">
      <c r="B21" s="8" t="inlineStr">
        <is>
          <t>Eylül</t>
        </is>
      </c>
      <c r="C21" s="9" t="n">
        <v>1030000</v>
      </c>
      <c r="D21" s="9" t="n">
        <v>919557</v>
      </c>
      <c r="E21" s="17" t="n">
        <v>-110443</v>
      </c>
      <c r="F21" s="18" t="n">
        <v>0.8927737864077669</v>
      </c>
      <c r="G21" s="12" t="inlineStr">
        <is>
          <t>Kulaklık</t>
        </is>
      </c>
      <c r="H21" s="19" t="inlineStr">
        <is>
          <t>⚠️ Yakın</t>
        </is>
      </c>
    </row>
    <row r="22" ht="18" customHeight="1">
      <c r="B22" s="14" t="inlineStr">
        <is>
          <t>Ekim</t>
        </is>
      </c>
      <c r="C22" s="15" t="n">
        <v>1200000</v>
      </c>
      <c r="D22" s="15" t="n">
        <v>1139259</v>
      </c>
      <c r="E22" s="17" t="n">
        <v>-60741</v>
      </c>
      <c r="F22" s="18" t="n">
        <v>0.9493825</v>
      </c>
      <c r="G22" s="16" t="inlineStr">
        <is>
          <t>Monitör</t>
        </is>
      </c>
      <c r="H22" s="19" t="inlineStr">
        <is>
          <t>⚠️ Yakın</t>
        </is>
      </c>
    </row>
    <row r="23" ht="18" customHeight="1">
      <c r="B23" s="8" t="inlineStr">
        <is>
          <t>Kasım</t>
        </is>
      </c>
      <c r="C23" s="9" t="n">
        <v>950000</v>
      </c>
      <c r="D23" s="9" t="n">
        <v>932817</v>
      </c>
      <c r="E23" s="17" t="n">
        <v>-17183</v>
      </c>
      <c r="F23" s="18" t="n">
        <v>0.9819126315789474</v>
      </c>
      <c r="G23" s="12" t="inlineStr">
        <is>
          <t>Kulaklık</t>
        </is>
      </c>
      <c r="H23" s="19" t="inlineStr">
        <is>
          <t>⚠️ Yakın</t>
        </is>
      </c>
    </row>
    <row r="24" ht="18" customHeight="1">
      <c r="B24" s="14" t="inlineStr">
        <is>
          <t>Aralık</t>
        </is>
      </c>
      <c r="C24" s="15" t="n">
        <v>1380000</v>
      </c>
      <c r="D24" s="15" t="n">
        <v>1291229</v>
      </c>
      <c r="E24" s="17" t="n">
        <v>-88771</v>
      </c>
      <c r="F24" s="18" t="n">
        <v>0.9356731884057971</v>
      </c>
      <c r="G24" s="16" t="inlineStr">
        <is>
          <t>Yazıcı</t>
        </is>
      </c>
      <c r="H24" s="19" t="inlineStr">
        <is>
          <t>⚠️ Yakın</t>
        </is>
      </c>
    </row>
    <row r="25" ht="22" customHeight="1">
      <c r="B25" s="20" t="inlineStr">
        <is>
          <t>TOPLAM</t>
        </is>
      </c>
      <c r="C25" s="21" t="n">
        <v>12110000</v>
      </c>
      <c r="D25" s="21" t="n">
        <v>12181859</v>
      </c>
      <c r="E25" s="21" t="n">
        <v>71859</v>
      </c>
      <c r="F25" s="22" t="n">
        <v>1.005933856317093</v>
      </c>
      <c r="G25" s="20" t="inlineStr"/>
      <c r="H25" s="20" t="inlineStr"/>
    </row>
  </sheetData>
  <mergeCells count="6">
    <mergeCell ref="F5:I8"/>
    <mergeCell ref="B2:N2"/>
    <mergeCell ref="B11:H11"/>
    <mergeCell ref="J5:M8"/>
    <mergeCell ref="N5:Q8"/>
    <mergeCell ref="B5:E8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121"/>
  <sheetViews>
    <sheetView showGridLines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18" customWidth="1" min="2" max="2"/>
    <col width="12" customWidth="1" min="3" max="3"/>
    <col width="18" customWidth="1" min="4" max="4"/>
    <col width="10" customWidth="1" min="5" max="5"/>
    <col width="16" customWidth="1" min="6" max="6"/>
    <col width="14" customWidth="1" min="7" max="7"/>
    <col width="16" customWidth="1" min="8" max="8"/>
  </cols>
  <sheetData>
    <row r="1" ht="28" customHeight="1">
      <c r="A1" s="7" t="inlineStr">
        <is>
          <t>#</t>
        </is>
      </c>
      <c r="B1" s="7" t="inlineStr">
        <is>
          <t>Satışçı Adı</t>
        </is>
      </c>
      <c r="C1" s="7" t="inlineStr">
        <is>
          <t>Ay</t>
        </is>
      </c>
      <c r="D1" s="7" t="inlineStr">
        <is>
          <t>Ürün Kategorisi</t>
        </is>
      </c>
      <c r="E1" s="7" t="inlineStr">
        <is>
          <t>Adet</t>
        </is>
      </c>
      <c r="F1" s="7" t="inlineStr">
        <is>
          <t>Toplam (₺)</t>
        </is>
      </c>
      <c r="G1" s="7" t="inlineStr">
        <is>
          <t>Birim Fiyat (₺)</t>
        </is>
      </c>
      <c r="H1" s="7" t="inlineStr">
        <is>
          <t>Komisyon (₺)</t>
        </is>
      </c>
    </row>
    <row r="2" ht="17" customHeight="1">
      <c r="A2" s="23" t="n">
        <v>1</v>
      </c>
      <c r="B2" s="12" t="inlineStr">
        <is>
          <t>Ahmet Yılmaz</t>
        </is>
      </c>
      <c r="C2" s="24" t="inlineStr">
        <is>
          <t>Ocak</t>
        </is>
      </c>
      <c r="D2" s="12" t="inlineStr">
        <is>
          <t>Yazıcı</t>
        </is>
      </c>
      <c r="E2" s="25" t="n">
        <v>27</v>
      </c>
      <c r="F2" s="9" t="n">
        <v>105583.64</v>
      </c>
      <c r="G2" s="9" t="n">
        <v>4200</v>
      </c>
      <c r="H2" s="9">
        <f>SUM(F2:F121)</f>
        <v/>
      </c>
    </row>
    <row r="3" ht="17" customHeight="1">
      <c r="A3" s="26" t="n">
        <v>2</v>
      </c>
      <c r="B3" s="16" t="inlineStr">
        <is>
          <t>Ayşe Kaya</t>
        </is>
      </c>
      <c r="C3" s="27" t="inlineStr">
        <is>
          <t>Şubat</t>
        </is>
      </c>
      <c r="D3" s="16" t="inlineStr">
        <is>
          <t>Telefon</t>
        </is>
      </c>
      <c r="E3" s="28" t="n">
        <v>27</v>
      </c>
      <c r="F3" s="15" t="n">
        <v>661079.51</v>
      </c>
      <c r="G3" s="15" t="n">
        <v>25000</v>
      </c>
      <c r="H3" s="15" t="n">
        <v>23137.78</v>
      </c>
    </row>
    <row r="4" ht="17" customHeight="1">
      <c r="A4" s="23" t="n">
        <v>3</v>
      </c>
      <c r="B4" s="12" t="inlineStr">
        <is>
          <t>Mehmet Demir</t>
        </is>
      </c>
      <c r="C4" s="24" t="inlineStr">
        <is>
          <t>Mart</t>
        </is>
      </c>
      <c r="D4" s="12" t="inlineStr">
        <is>
          <t>Monitör</t>
        </is>
      </c>
      <c r="E4" s="25" t="n">
        <v>3</v>
      </c>
      <c r="F4" s="9" t="n">
        <v>17896.11</v>
      </c>
      <c r="G4" s="9" t="n">
        <v>5500</v>
      </c>
      <c r="H4" s="9" t="n">
        <v>626.36</v>
      </c>
    </row>
    <row r="5" ht="17" customHeight="1">
      <c r="A5" s="26" t="n">
        <v>4</v>
      </c>
      <c r="B5" s="16" t="inlineStr">
        <is>
          <t>Fatma Çelik</t>
        </is>
      </c>
      <c r="C5" s="27" t="inlineStr">
        <is>
          <t>Nisan</t>
        </is>
      </c>
      <c r="D5" s="16" t="inlineStr">
        <is>
          <t>Kamera</t>
        </is>
      </c>
      <c r="E5" s="28" t="n">
        <v>10</v>
      </c>
      <c r="F5" s="15" t="n">
        <v>194860.7</v>
      </c>
      <c r="G5" s="15" t="n">
        <v>18000</v>
      </c>
      <c r="H5" s="15" t="n">
        <v>6820.12</v>
      </c>
    </row>
    <row r="6" ht="17" customHeight="1">
      <c r="A6" s="23" t="n">
        <v>5</v>
      </c>
      <c r="B6" s="12" t="inlineStr">
        <is>
          <t>Ali Şahin</t>
        </is>
      </c>
      <c r="C6" s="24" t="inlineStr">
        <is>
          <t>Mayıs</t>
        </is>
      </c>
      <c r="D6" s="12" t="inlineStr">
        <is>
          <t>Ses Sistemi</t>
        </is>
      </c>
      <c r="E6" s="25" t="n">
        <v>41</v>
      </c>
      <c r="F6" s="9" t="n">
        <v>134738.65</v>
      </c>
      <c r="G6" s="9" t="n">
        <v>3500</v>
      </c>
      <c r="H6" s="9" t="n">
        <v>4715.85</v>
      </c>
    </row>
    <row r="7" ht="17" customHeight="1">
      <c r="A7" s="26" t="n">
        <v>6</v>
      </c>
      <c r="B7" s="16" t="inlineStr">
        <is>
          <t>Zeynep Arslan</t>
        </is>
      </c>
      <c r="C7" s="27" t="inlineStr">
        <is>
          <t>Haziran</t>
        </is>
      </c>
      <c r="D7" s="16" t="inlineStr">
        <is>
          <t>Yazıcı</t>
        </is>
      </c>
      <c r="E7" s="28" t="n">
        <v>47</v>
      </c>
      <c r="F7" s="15" t="n">
        <v>181004.08</v>
      </c>
      <c r="G7" s="15" t="n">
        <v>4200</v>
      </c>
      <c r="H7" s="15" t="n">
        <v>6335.14</v>
      </c>
    </row>
    <row r="8" ht="17" customHeight="1">
      <c r="A8" s="23" t="n">
        <v>7</v>
      </c>
      <c r="B8" s="12" t="inlineStr">
        <is>
          <t>Hasan Koç</t>
        </is>
      </c>
      <c r="C8" s="24" t="inlineStr">
        <is>
          <t>Temmuz</t>
        </is>
      </c>
      <c r="D8" s="12" t="inlineStr">
        <is>
          <t>Ses Sistemi</t>
        </is>
      </c>
      <c r="E8" s="25" t="n">
        <v>5</v>
      </c>
      <c r="F8" s="9" t="n">
        <v>16420.23</v>
      </c>
      <c r="G8" s="9" t="n">
        <v>3500</v>
      </c>
      <c r="H8" s="9" t="n">
        <v>574.71</v>
      </c>
    </row>
    <row r="9" ht="17" customHeight="1">
      <c r="A9" s="26" t="n">
        <v>8</v>
      </c>
      <c r="B9" s="16" t="inlineStr">
        <is>
          <t>Merve Güler</t>
        </is>
      </c>
      <c r="C9" s="27" t="inlineStr">
        <is>
          <t>Ağustos</t>
        </is>
      </c>
      <c r="D9" s="16" t="inlineStr">
        <is>
          <t>Kamera</t>
        </is>
      </c>
      <c r="E9" s="28" t="n">
        <v>10</v>
      </c>
      <c r="F9" s="15" t="n">
        <v>192248.01</v>
      </c>
      <c r="G9" s="15" t="n">
        <v>18000</v>
      </c>
      <c r="H9" s="15" t="n">
        <v>6728.68</v>
      </c>
    </row>
    <row r="10" ht="17" customHeight="1">
      <c r="A10" s="23" t="n">
        <v>9</v>
      </c>
      <c r="B10" s="12" t="inlineStr">
        <is>
          <t>Emre Yıldız</t>
        </is>
      </c>
      <c r="C10" s="24" t="inlineStr">
        <is>
          <t>Eylül</t>
        </is>
      </c>
      <c r="D10" s="12" t="inlineStr">
        <is>
          <t>Ses Sistemi</t>
        </is>
      </c>
      <c r="E10" s="25" t="n">
        <v>12</v>
      </c>
      <c r="F10" s="9" t="n">
        <v>39037.46</v>
      </c>
      <c r="G10" s="9" t="n">
        <v>3500</v>
      </c>
      <c r="H10" s="9" t="n">
        <v>1366.31</v>
      </c>
    </row>
    <row r="11" ht="17" customHeight="1">
      <c r="A11" s="26" t="n">
        <v>10</v>
      </c>
      <c r="B11" s="16" t="inlineStr">
        <is>
          <t>Selin Aydın</t>
        </is>
      </c>
      <c r="C11" s="27" t="inlineStr">
        <is>
          <t>Ekim</t>
        </is>
      </c>
      <c r="D11" s="16" t="inlineStr">
        <is>
          <t>Kamera</t>
        </is>
      </c>
      <c r="E11" s="28" t="n">
        <v>1</v>
      </c>
      <c r="F11" s="15" t="n">
        <v>19731.52</v>
      </c>
      <c r="G11" s="15" t="n">
        <v>18000</v>
      </c>
      <c r="H11" s="15" t="n">
        <v>690.6</v>
      </c>
    </row>
    <row r="12" ht="17" customHeight="1">
      <c r="A12" s="23" t="n">
        <v>11</v>
      </c>
      <c r="B12" s="12" t="inlineStr">
        <is>
          <t>Ahmet Yılmaz</t>
        </is>
      </c>
      <c r="C12" s="24" t="inlineStr">
        <is>
          <t>Kasım</t>
        </is>
      </c>
      <c r="D12" s="12" t="inlineStr">
        <is>
          <t>Kamera</t>
        </is>
      </c>
      <c r="E12" s="25" t="n">
        <v>28</v>
      </c>
      <c r="F12" s="9" t="n">
        <v>532183.58</v>
      </c>
      <c r="G12" s="9" t="n">
        <v>18000</v>
      </c>
      <c r="H12" s="9" t="n">
        <v>18626.43</v>
      </c>
    </row>
    <row r="13" ht="17" customHeight="1">
      <c r="A13" s="26" t="n">
        <v>12</v>
      </c>
      <c r="B13" s="16" t="inlineStr">
        <is>
          <t>Ayşe Kaya</t>
        </is>
      </c>
      <c r="C13" s="27" t="inlineStr">
        <is>
          <t>Aralık</t>
        </is>
      </c>
      <c r="D13" s="16" t="inlineStr">
        <is>
          <t>Telefon</t>
        </is>
      </c>
      <c r="E13" s="28" t="n">
        <v>33</v>
      </c>
      <c r="F13" s="15" t="n">
        <v>780858.75</v>
      </c>
      <c r="G13" s="15" t="n">
        <v>25000</v>
      </c>
      <c r="H13" s="15" t="n">
        <v>27330.06</v>
      </c>
    </row>
    <row r="14" ht="17" customHeight="1">
      <c r="A14" s="23" t="n">
        <v>13</v>
      </c>
      <c r="B14" s="12" t="inlineStr">
        <is>
          <t>Mehmet Demir</t>
        </is>
      </c>
      <c r="C14" s="24" t="inlineStr">
        <is>
          <t>Ocak</t>
        </is>
      </c>
      <c r="D14" s="12" t="inlineStr">
        <is>
          <t>Kamera</t>
        </is>
      </c>
      <c r="E14" s="25" t="n">
        <v>41</v>
      </c>
      <c r="F14" s="9" t="n">
        <v>696939.05</v>
      </c>
      <c r="G14" s="9" t="n">
        <v>18000</v>
      </c>
      <c r="H14" s="9" t="n">
        <v>24392.87</v>
      </c>
    </row>
    <row r="15" ht="17" customHeight="1">
      <c r="A15" s="26" t="n">
        <v>14</v>
      </c>
      <c r="B15" s="16" t="inlineStr">
        <is>
          <t>Fatma Çelik</t>
        </is>
      </c>
      <c r="C15" s="27" t="inlineStr">
        <is>
          <t>Şubat</t>
        </is>
      </c>
      <c r="D15" s="16" t="inlineStr">
        <is>
          <t>Telefon</t>
        </is>
      </c>
      <c r="E15" s="28" t="n">
        <v>19</v>
      </c>
      <c r="F15" s="15" t="n">
        <v>428582.8</v>
      </c>
      <c r="G15" s="15" t="n">
        <v>25000</v>
      </c>
      <c r="H15" s="15" t="n">
        <v>15000.4</v>
      </c>
    </row>
    <row r="16" ht="17" customHeight="1">
      <c r="A16" s="23" t="n">
        <v>15</v>
      </c>
      <c r="B16" s="12" t="inlineStr">
        <is>
          <t>Ali Şahin</t>
        </is>
      </c>
      <c r="C16" s="24" t="inlineStr">
        <is>
          <t>Mart</t>
        </is>
      </c>
      <c r="D16" s="12" t="inlineStr">
        <is>
          <t>Telefon</t>
        </is>
      </c>
      <c r="E16" s="25" t="n">
        <v>10</v>
      </c>
      <c r="F16" s="9" t="n">
        <v>255021.24</v>
      </c>
      <c r="G16" s="9" t="n">
        <v>25000</v>
      </c>
      <c r="H16" s="9" t="n">
        <v>8925.74</v>
      </c>
    </row>
    <row r="17" ht="17" customHeight="1">
      <c r="A17" s="26" t="n">
        <v>16</v>
      </c>
      <c r="B17" s="16" t="inlineStr">
        <is>
          <t>Zeynep Arslan</t>
        </is>
      </c>
      <c r="C17" s="27" t="inlineStr">
        <is>
          <t>Nisan</t>
        </is>
      </c>
      <c r="D17" s="16" t="inlineStr">
        <is>
          <t>Monitör</t>
        </is>
      </c>
      <c r="E17" s="28" t="n">
        <v>44</v>
      </c>
      <c r="F17" s="15" t="n">
        <v>254642.08</v>
      </c>
      <c r="G17" s="15" t="n">
        <v>5500</v>
      </c>
      <c r="H17" s="15" t="n">
        <v>8912.469999999999</v>
      </c>
    </row>
    <row r="18" ht="17" customHeight="1">
      <c r="A18" s="23" t="n">
        <v>17</v>
      </c>
      <c r="B18" s="12" t="inlineStr">
        <is>
          <t>Hasan Koç</t>
        </is>
      </c>
      <c r="C18" s="24" t="inlineStr">
        <is>
          <t>Mayıs</t>
        </is>
      </c>
      <c r="D18" s="12" t="inlineStr">
        <is>
          <t>Yazıcı</t>
        </is>
      </c>
      <c r="E18" s="25" t="n">
        <v>25</v>
      </c>
      <c r="F18" s="9" t="n">
        <v>114467.75</v>
      </c>
      <c r="G18" s="9" t="n">
        <v>4200</v>
      </c>
      <c r="H18" s="9" t="n">
        <v>4006.37</v>
      </c>
    </row>
    <row r="19" ht="17" customHeight="1">
      <c r="A19" s="26" t="n">
        <v>18</v>
      </c>
      <c r="B19" s="16" t="inlineStr">
        <is>
          <t>Merve Güler</t>
        </is>
      </c>
      <c r="C19" s="27" t="inlineStr">
        <is>
          <t>Haziran</t>
        </is>
      </c>
      <c r="D19" s="16" t="inlineStr">
        <is>
          <t>Monitör</t>
        </is>
      </c>
      <c r="E19" s="28" t="n">
        <v>12</v>
      </c>
      <c r="F19" s="15" t="n">
        <v>59764.96</v>
      </c>
      <c r="G19" s="15" t="n">
        <v>5500</v>
      </c>
      <c r="H19" s="15" t="n">
        <v>2091.77</v>
      </c>
    </row>
    <row r="20" ht="17" customHeight="1">
      <c r="A20" s="23" t="n">
        <v>19</v>
      </c>
      <c r="B20" s="12" t="inlineStr">
        <is>
          <t>Emre Yıldız</t>
        </is>
      </c>
      <c r="C20" s="24" t="inlineStr">
        <is>
          <t>Temmuz</t>
        </is>
      </c>
      <c r="D20" s="12" t="inlineStr">
        <is>
          <t>Monitör</t>
        </is>
      </c>
      <c r="E20" s="25" t="n">
        <v>47</v>
      </c>
      <c r="F20" s="9" t="n">
        <v>271830.7</v>
      </c>
      <c r="G20" s="9" t="n">
        <v>5500</v>
      </c>
      <c r="H20" s="9" t="n">
        <v>9514.07</v>
      </c>
    </row>
    <row r="21" ht="17" customHeight="1">
      <c r="A21" s="26" t="n">
        <v>20</v>
      </c>
      <c r="B21" s="16" t="inlineStr">
        <is>
          <t>Selin Aydın</t>
        </is>
      </c>
      <c r="C21" s="27" t="inlineStr">
        <is>
          <t>Ağustos</t>
        </is>
      </c>
      <c r="D21" s="16" t="inlineStr">
        <is>
          <t>Tablet</t>
        </is>
      </c>
      <c r="E21" s="28" t="n">
        <v>36</v>
      </c>
      <c r="F21" s="15" t="n">
        <v>300511.45</v>
      </c>
      <c r="G21" s="15" t="n">
        <v>8000</v>
      </c>
      <c r="H21" s="15" t="n">
        <v>10517.9</v>
      </c>
    </row>
    <row r="22" ht="17" customHeight="1">
      <c r="A22" s="23" t="n">
        <v>21</v>
      </c>
      <c r="B22" s="12" t="inlineStr">
        <is>
          <t>Ahmet Yılmaz</t>
        </is>
      </c>
      <c r="C22" s="24" t="inlineStr">
        <is>
          <t>Eylül</t>
        </is>
      </c>
      <c r="D22" s="12" t="inlineStr">
        <is>
          <t>Ses Sistemi</t>
        </is>
      </c>
      <c r="E22" s="25" t="n">
        <v>41</v>
      </c>
      <c r="F22" s="9" t="n">
        <v>130146.18</v>
      </c>
      <c r="G22" s="9" t="n">
        <v>3500</v>
      </c>
      <c r="H22" s="9" t="n">
        <v>4555.12</v>
      </c>
    </row>
    <row r="23" ht="17" customHeight="1">
      <c r="A23" s="26" t="n">
        <v>22</v>
      </c>
      <c r="B23" s="16" t="inlineStr">
        <is>
          <t>Ayşe Kaya</t>
        </is>
      </c>
      <c r="C23" s="27" t="inlineStr">
        <is>
          <t>Ekim</t>
        </is>
      </c>
      <c r="D23" s="16" t="inlineStr">
        <is>
          <t>Laptop</t>
        </is>
      </c>
      <c r="E23" s="28" t="n">
        <v>46</v>
      </c>
      <c r="F23" s="15" t="n">
        <v>632281.9</v>
      </c>
      <c r="G23" s="15" t="n">
        <v>15000</v>
      </c>
      <c r="H23" s="15" t="n">
        <v>22129.87</v>
      </c>
    </row>
    <row r="24" ht="17" customHeight="1">
      <c r="A24" s="23" t="n">
        <v>23</v>
      </c>
      <c r="B24" s="12" t="inlineStr">
        <is>
          <t>Mehmet Demir</t>
        </is>
      </c>
      <c r="C24" s="24" t="inlineStr">
        <is>
          <t>Kasım</t>
        </is>
      </c>
      <c r="D24" s="12" t="inlineStr">
        <is>
          <t>Monitör</t>
        </is>
      </c>
      <c r="E24" s="25" t="n">
        <v>27</v>
      </c>
      <c r="F24" s="9" t="n">
        <v>159663.85</v>
      </c>
      <c r="G24" s="9" t="n">
        <v>5500</v>
      </c>
      <c r="H24" s="9" t="n">
        <v>5588.23</v>
      </c>
    </row>
    <row r="25" ht="17" customHeight="1">
      <c r="A25" s="26" t="n">
        <v>24</v>
      </c>
      <c r="B25" s="16" t="inlineStr">
        <is>
          <t>Fatma Çelik</t>
        </is>
      </c>
      <c r="C25" s="27" t="inlineStr">
        <is>
          <t>Aralık</t>
        </is>
      </c>
      <c r="D25" s="16" t="inlineStr">
        <is>
          <t>Yazıcı</t>
        </is>
      </c>
      <c r="E25" s="28" t="n">
        <v>42</v>
      </c>
      <c r="F25" s="15" t="n">
        <v>162156.31</v>
      </c>
      <c r="G25" s="15" t="n">
        <v>4200</v>
      </c>
      <c r="H25" s="15" t="n">
        <v>5675.47</v>
      </c>
    </row>
    <row r="26" ht="17" customHeight="1">
      <c r="A26" s="23" t="n">
        <v>25</v>
      </c>
      <c r="B26" s="12" t="inlineStr">
        <is>
          <t>Ali Şahin</t>
        </is>
      </c>
      <c r="C26" s="24" t="inlineStr">
        <is>
          <t>Ocak</t>
        </is>
      </c>
      <c r="D26" s="12" t="inlineStr">
        <is>
          <t>Laptop</t>
        </is>
      </c>
      <c r="E26" s="25" t="n">
        <v>32</v>
      </c>
      <c r="F26" s="9" t="n">
        <v>497304.9</v>
      </c>
      <c r="G26" s="9" t="n">
        <v>15000</v>
      </c>
      <c r="H26" s="9" t="n">
        <v>17405.67</v>
      </c>
    </row>
    <row r="27" ht="17" customHeight="1">
      <c r="A27" s="26" t="n">
        <v>26</v>
      </c>
      <c r="B27" s="16" t="inlineStr">
        <is>
          <t>Zeynep Arslan</t>
        </is>
      </c>
      <c r="C27" s="27" t="inlineStr">
        <is>
          <t>Şubat</t>
        </is>
      </c>
      <c r="D27" s="16" t="inlineStr">
        <is>
          <t>Monitör</t>
        </is>
      </c>
      <c r="E27" s="28" t="n">
        <v>47</v>
      </c>
      <c r="F27" s="15" t="n">
        <v>263968.75</v>
      </c>
      <c r="G27" s="15" t="n">
        <v>5500</v>
      </c>
      <c r="H27" s="15" t="n">
        <v>9238.91</v>
      </c>
    </row>
    <row r="28" ht="17" customHeight="1">
      <c r="A28" s="23" t="n">
        <v>27</v>
      </c>
      <c r="B28" s="12" t="inlineStr">
        <is>
          <t>Hasan Koç</t>
        </is>
      </c>
      <c r="C28" s="24" t="inlineStr">
        <is>
          <t>Mart</t>
        </is>
      </c>
      <c r="D28" s="12" t="inlineStr">
        <is>
          <t>Telefon</t>
        </is>
      </c>
      <c r="E28" s="25" t="n">
        <v>7</v>
      </c>
      <c r="F28" s="9" t="n">
        <v>163341.41</v>
      </c>
      <c r="G28" s="9" t="n">
        <v>25000</v>
      </c>
      <c r="H28" s="9" t="n">
        <v>5716.95</v>
      </c>
    </row>
    <row r="29" ht="17" customHeight="1">
      <c r="A29" s="26" t="n">
        <v>28</v>
      </c>
      <c r="B29" s="16" t="inlineStr">
        <is>
          <t>Merve Güler</t>
        </is>
      </c>
      <c r="C29" s="27" t="inlineStr">
        <is>
          <t>Nisan</t>
        </is>
      </c>
      <c r="D29" s="16" t="inlineStr">
        <is>
          <t>Yazıcı</t>
        </is>
      </c>
      <c r="E29" s="28" t="n">
        <v>49</v>
      </c>
      <c r="F29" s="15" t="n">
        <v>209427.72</v>
      </c>
      <c r="G29" s="15" t="n">
        <v>4200</v>
      </c>
      <c r="H29" s="15" t="n">
        <v>7329.97</v>
      </c>
    </row>
    <row r="30" ht="17" customHeight="1">
      <c r="A30" s="23" t="n">
        <v>29</v>
      </c>
      <c r="B30" s="12" t="inlineStr">
        <is>
          <t>Emre Yıldız</t>
        </is>
      </c>
      <c r="C30" s="24" t="inlineStr">
        <is>
          <t>Mayıs</t>
        </is>
      </c>
      <c r="D30" s="12" t="inlineStr">
        <is>
          <t>Aksesuar</t>
        </is>
      </c>
      <c r="E30" s="25" t="n">
        <v>20</v>
      </c>
      <c r="F30" s="9" t="n">
        <v>16468.39</v>
      </c>
      <c r="G30" s="9" t="n">
        <v>850</v>
      </c>
      <c r="H30" s="9" t="n">
        <v>576.39</v>
      </c>
    </row>
    <row r="31" ht="17" customHeight="1">
      <c r="A31" s="26" t="n">
        <v>30</v>
      </c>
      <c r="B31" s="16" t="inlineStr">
        <is>
          <t>Selin Aydın</t>
        </is>
      </c>
      <c r="C31" s="27" t="inlineStr">
        <is>
          <t>Haziran</t>
        </is>
      </c>
      <c r="D31" s="16" t="inlineStr">
        <is>
          <t>Laptop</t>
        </is>
      </c>
      <c r="E31" s="28" t="n">
        <v>36</v>
      </c>
      <c r="F31" s="15" t="n">
        <v>561073.89</v>
      </c>
      <c r="G31" s="15" t="n">
        <v>15000</v>
      </c>
      <c r="H31" s="15" t="n">
        <v>19637.59</v>
      </c>
    </row>
    <row r="32" ht="17" customHeight="1">
      <c r="A32" s="23" t="n">
        <v>31</v>
      </c>
      <c r="B32" s="12" t="inlineStr">
        <is>
          <t>Ahmet Yılmaz</t>
        </is>
      </c>
      <c r="C32" s="24" t="inlineStr">
        <is>
          <t>Temmuz</t>
        </is>
      </c>
      <c r="D32" s="12" t="inlineStr">
        <is>
          <t>Laptop</t>
        </is>
      </c>
      <c r="E32" s="25" t="n">
        <v>44</v>
      </c>
      <c r="F32" s="9" t="n">
        <v>626102.7</v>
      </c>
      <c r="G32" s="9" t="n">
        <v>15000</v>
      </c>
      <c r="H32" s="9" t="n">
        <v>21913.59</v>
      </c>
    </row>
    <row r="33" ht="17" customHeight="1">
      <c r="A33" s="26" t="n">
        <v>32</v>
      </c>
      <c r="B33" s="16" t="inlineStr">
        <is>
          <t>Ayşe Kaya</t>
        </is>
      </c>
      <c r="C33" s="27" t="inlineStr">
        <is>
          <t>Ağustos</t>
        </is>
      </c>
      <c r="D33" s="16" t="inlineStr">
        <is>
          <t>Aksesuar</t>
        </is>
      </c>
      <c r="E33" s="28" t="n">
        <v>1</v>
      </c>
      <c r="F33" s="15" t="n">
        <v>766.41</v>
      </c>
      <c r="G33" s="15" t="n">
        <v>850</v>
      </c>
      <c r="H33" s="15" t="n">
        <v>26.82</v>
      </c>
    </row>
    <row r="34" ht="17" customHeight="1">
      <c r="A34" s="23" t="n">
        <v>33</v>
      </c>
      <c r="B34" s="12" t="inlineStr">
        <is>
          <t>Mehmet Demir</t>
        </is>
      </c>
      <c r="C34" s="24" t="inlineStr">
        <is>
          <t>Eylül</t>
        </is>
      </c>
      <c r="D34" s="12" t="inlineStr">
        <is>
          <t>Telefon</t>
        </is>
      </c>
      <c r="E34" s="25" t="n">
        <v>9</v>
      </c>
      <c r="F34" s="9" t="n">
        <v>221416.87</v>
      </c>
      <c r="G34" s="9" t="n">
        <v>25000</v>
      </c>
      <c r="H34" s="9" t="n">
        <v>7749.59</v>
      </c>
    </row>
    <row r="35" ht="17" customHeight="1">
      <c r="A35" s="26" t="n">
        <v>34</v>
      </c>
      <c r="B35" s="16" t="inlineStr">
        <is>
          <t>Fatma Çelik</t>
        </is>
      </c>
      <c r="C35" s="27" t="inlineStr">
        <is>
          <t>Ekim</t>
        </is>
      </c>
      <c r="D35" s="16" t="inlineStr">
        <is>
          <t>Aksesuar</t>
        </is>
      </c>
      <c r="E35" s="28" t="n">
        <v>44</v>
      </c>
      <c r="F35" s="15" t="n">
        <v>40269.21</v>
      </c>
      <c r="G35" s="15" t="n">
        <v>850</v>
      </c>
      <c r="H35" s="15" t="n">
        <v>1409.42</v>
      </c>
    </row>
    <row r="36" ht="17" customHeight="1">
      <c r="A36" s="23" t="n">
        <v>35</v>
      </c>
      <c r="B36" s="12" t="inlineStr">
        <is>
          <t>Ali Şahin</t>
        </is>
      </c>
      <c r="C36" s="24" t="inlineStr">
        <is>
          <t>Kasım</t>
        </is>
      </c>
      <c r="D36" s="12" t="inlineStr">
        <is>
          <t>Monitör</t>
        </is>
      </c>
      <c r="E36" s="25" t="n">
        <v>24</v>
      </c>
      <c r="F36" s="9" t="n">
        <v>122234.08</v>
      </c>
      <c r="G36" s="9" t="n">
        <v>5500</v>
      </c>
      <c r="H36" s="9" t="n">
        <v>4278.19</v>
      </c>
    </row>
    <row r="37" ht="17" customHeight="1">
      <c r="A37" s="26" t="n">
        <v>36</v>
      </c>
      <c r="B37" s="16" t="inlineStr">
        <is>
          <t>Zeynep Arslan</t>
        </is>
      </c>
      <c r="C37" s="27" t="inlineStr">
        <is>
          <t>Aralık</t>
        </is>
      </c>
      <c r="D37" s="16" t="inlineStr">
        <is>
          <t>Telefon</t>
        </is>
      </c>
      <c r="E37" s="28" t="n">
        <v>1</v>
      </c>
      <c r="F37" s="15" t="n">
        <v>27289.97</v>
      </c>
      <c r="G37" s="15" t="n">
        <v>25000</v>
      </c>
      <c r="H37" s="15" t="n">
        <v>955.15</v>
      </c>
    </row>
    <row r="38" ht="17" customHeight="1">
      <c r="A38" s="23" t="n">
        <v>37</v>
      </c>
      <c r="B38" s="12" t="inlineStr">
        <is>
          <t>Hasan Koç</t>
        </is>
      </c>
      <c r="C38" s="24" t="inlineStr">
        <is>
          <t>Ocak</t>
        </is>
      </c>
      <c r="D38" s="12" t="inlineStr">
        <is>
          <t>Ses Sistemi</t>
        </is>
      </c>
      <c r="E38" s="25" t="n">
        <v>49</v>
      </c>
      <c r="F38" s="9" t="n">
        <v>186826.37</v>
      </c>
      <c r="G38" s="9" t="n">
        <v>3500</v>
      </c>
      <c r="H38" s="9" t="n">
        <v>6538.92</v>
      </c>
    </row>
    <row r="39" ht="17" customHeight="1">
      <c r="A39" s="26" t="n">
        <v>38</v>
      </c>
      <c r="B39" s="16" t="inlineStr">
        <is>
          <t>Merve Güler</t>
        </is>
      </c>
      <c r="C39" s="27" t="inlineStr">
        <is>
          <t>Şubat</t>
        </is>
      </c>
      <c r="D39" s="16" t="inlineStr">
        <is>
          <t>Laptop</t>
        </is>
      </c>
      <c r="E39" s="28" t="n">
        <v>14</v>
      </c>
      <c r="F39" s="15" t="n">
        <v>211656.72</v>
      </c>
      <c r="G39" s="15" t="n">
        <v>15000</v>
      </c>
      <c r="H39" s="15" t="n">
        <v>7407.99</v>
      </c>
    </row>
    <row r="40" ht="17" customHeight="1">
      <c r="A40" s="23" t="n">
        <v>39</v>
      </c>
      <c r="B40" s="12" t="inlineStr">
        <is>
          <t>Emre Yıldız</t>
        </is>
      </c>
      <c r="C40" s="24" t="inlineStr">
        <is>
          <t>Mart</t>
        </is>
      </c>
      <c r="D40" s="12" t="inlineStr">
        <is>
          <t>Aksesuar</t>
        </is>
      </c>
      <c r="E40" s="25" t="n">
        <v>7</v>
      </c>
      <c r="F40" s="9" t="n">
        <v>5981.59</v>
      </c>
      <c r="G40" s="9" t="n">
        <v>850</v>
      </c>
      <c r="H40" s="9" t="n">
        <v>209.36</v>
      </c>
    </row>
    <row r="41" ht="17" customHeight="1">
      <c r="A41" s="26" t="n">
        <v>40</v>
      </c>
      <c r="B41" s="16" t="inlineStr">
        <is>
          <t>Selin Aydın</t>
        </is>
      </c>
      <c r="C41" s="27" t="inlineStr">
        <is>
          <t>Nisan</t>
        </is>
      </c>
      <c r="D41" s="16" t="inlineStr">
        <is>
          <t>Laptop</t>
        </is>
      </c>
      <c r="E41" s="28" t="n">
        <v>38</v>
      </c>
      <c r="F41" s="15" t="n">
        <v>583490.2</v>
      </c>
      <c r="G41" s="15" t="n">
        <v>15000</v>
      </c>
      <c r="H41" s="15" t="n">
        <v>20422.16</v>
      </c>
    </row>
    <row r="42" ht="17" customHeight="1">
      <c r="A42" s="23" t="n">
        <v>41</v>
      </c>
      <c r="B42" s="12" t="inlineStr">
        <is>
          <t>Ahmet Yılmaz</t>
        </is>
      </c>
      <c r="C42" s="24" t="inlineStr">
        <is>
          <t>Mayıs</t>
        </is>
      </c>
      <c r="D42" s="12" t="inlineStr">
        <is>
          <t>Monitör</t>
        </is>
      </c>
      <c r="E42" s="25" t="n">
        <v>14</v>
      </c>
      <c r="F42" s="9" t="n">
        <v>79948.64</v>
      </c>
      <c r="G42" s="9" t="n">
        <v>5500</v>
      </c>
      <c r="H42" s="9" t="n">
        <v>2798.2</v>
      </c>
    </row>
    <row r="43" ht="17" customHeight="1">
      <c r="A43" s="26" t="n">
        <v>42</v>
      </c>
      <c r="B43" s="16" t="inlineStr">
        <is>
          <t>Ayşe Kaya</t>
        </is>
      </c>
      <c r="C43" s="27" t="inlineStr">
        <is>
          <t>Haziran</t>
        </is>
      </c>
      <c r="D43" s="16" t="inlineStr">
        <is>
          <t>Yazıcı</t>
        </is>
      </c>
      <c r="E43" s="28" t="n">
        <v>16</v>
      </c>
      <c r="F43" s="15" t="n">
        <v>65837.38</v>
      </c>
      <c r="G43" s="15" t="n">
        <v>4200</v>
      </c>
      <c r="H43" s="15" t="n">
        <v>2304.31</v>
      </c>
    </row>
    <row r="44" ht="17" customHeight="1">
      <c r="A44" s="23" t="n">
        <v>43</v>
      </c>
      <c r="B44" s="12" t="inlineStr">
        <is>
          <t>Mehmet Demir</t>
        </is>
      </c>
      <c r="C44" s="24" t="inlineStr">
        <is>
          <t>Temmuz</t>
        </is>
      </c>
      <c r="D44" s="12" t="inlineStr">
        <is>
          <t>Yazıcı</t>
        </is>
      </c>
      <c r="E44" s="25" t="n">
        <v>11</v>
      </c>
      <c r="F44" s="9" t="n">
        <v>42975.94</v>
      </c>
      <c r="G44" s="9" t="n">
        <v>4200</v>
      </c>
      <c r="H44" s="9" t="n">
        <v>1504.16</v>
      </c>
    </row>
    <row r="45" ht="17" customHeight="1">
      <c r="A45" s="26" t="n">
        <v>44</v>
      </c>
      <c r="B45" s="16" t="inlineStr">
        <is>
          <t>Fatma Çelik</t>
        </is>
      </c>
      <c r="C45" s="27" t="inlineStr">
        <is>
          <t>Ağustos</t>
        </is>
      </c>
      <c r="D45" s="16" t="inlineStr">
        <is>
          <t>Ses Sistemi</t>
        </is>
      </c>
      <c r="E45" s="28" t="n">
        <v>28</v>
      </c>
      <c r="F45" s="15" t="n">
        <v>95153.95</v>
      </c>
      <c r="G45" s="15" t="n">
        <v>3500</v>
      </c>
      <c r="H45" s="15" t="n">
        <v>3330.39</v>
      </c>
    </row>
    <row r="46" ht="17" customHeight="1">
      <c r="A46" s="23" t="n">
        <v>45</v>
      </c>
      <c r="B46" s="12" t="inlineStr">
        <is>
          <t>Ali Şahin</t>
        </is>
      </c>
      <c r="C46" s="24" t="inlineStr">
        <is>
          <t>Eylül</t>
        </is>
      </c>
      <c r="D46" s="12" t="inlineStr">
        <is>
          <t>Aksesuar</t>
        </is>
      </c>
      <c r="E46" s="25" t="n">
        <v>35</v>
      </c>
      <c r="F46" s="9" t="n">
        <v>31334.77</v>
      </c>
      <c r="G46" s="9" t="n">
        <v>850</v>
      </c>
      <c r="H46" s="9" t="n">
        <v>1096.72</v>
      </c>
    </row>
    <row r="47" ht="17" customHeight="1">
      <c r="A47" s="26" t="n">
        <v>46</v>
      </c>
      <c r="B47" s="16" t="inlineStr">
        <is>
          <t>Zeynep Arslan</t>
        </is>
      </c>
      <c r="C47" s="27" t="inlineStr">
        <is>
          <t>Ekim</t>
        </is>
      </c>
      <c r="D47" s="16" t="inlineStr">
        <is>
          <t>Ses Sistemi</t>
        </is>
      </c>
      <c r="E47" s="28" t="n">
        <v>34</v>
      </c>
      <c r="F47" s="15" t="n">
        <v>113149.2</v>
      </c>
      <c r="G47" s="15" t="n">
        <v>3500</v>
      </c>
      <c r="H47" s="15" t="n">
        <v>3960.22</v>
      </c>
    </row>
    <row r="48" ht="17" customHeight="1">
      <c r="A48" s="23" t="n">
        <v>47</v>
      </c>
      <c r="B48" s="12" t="inlineStr">
        <is>
          <t>Hasan Koç</t>
        </is>
      </c>
      <c r="C48" s="24" t="inlineStr">
        <is>
          <t>Kasım</t>
        </is>
      </c>
      <c r="D48" s="12" t="inlineStr">
        <is>
          <t>Laptop</t>
        </is>
      </c>
      <c r="E48" s="25" t="n">
        <v>22</v>
      </c>
      <c r="F48" s="9" t="n">
        <v>340642.83</v>
      </c>
      <c r="G48" s="9" t="n">
        <v>15000</v>
      </c>
      <c r="H48" s="9" t="n">
        <v>11922.5</v>
      </c>
    </row>
    <row r="49" ht="17" customHeight="1">
      <c r="A49" s="26" t="n">
        <v>48</v>
      </c>
      <c r="B49" s="16" t="inlineStr">
        <is>
          <t>Merve Güler</t>
        </is>
      </c>
      <c r="C49" s="27" t="inlineStr">
        <is>
          <t>Aralık</t>
        </is>
      </c>
      <c r="D49" s="16" t="inlineStr">
        <is>
          <t>Telefon</t>
        </is>
      </c>
      <c r="E49" s="28" t="n">
        <v>9</v>
      </c>
      <c r="F49" s="15" t="n">
        <v>223491.09</v>
      </c>
      <c r="G49" s="15" t="n">
        <v>25000</v>
      </c>
      <c r="H49" s="15" t="n">
        <v>7822.19</v>
      </c>
    </row>
    <row r="50" ht="17" customHeight="1">
      <c r="A50" s="23" t="n">
        <v>49</v>
      </c>
      <c r="B50" s="12" t="inlineStr">
        <is>
          <t>Emre Yıldız</t>
        </is>
      </c>
      <c r="C50" s="24" t="inlineStr">
        <is>
          <t>Ocak</t>
        </is>
      </c>
      <c r="D50" s="12" t="inlineStr">
        <is>
          <t>Yazıcı</t>
        </is>
      </c>
      <c r="E50" s="25" t="n">
        <v>24</v>
      </c>
      <c r="F50" s="9" t="n">
        <v>91265.28999999999</v>
      </c>
      <c r="G50" s="9" t="n">
        <v>4200</v>
      </c>
      <c r="H50" s="9" t="n">
        <v>3194.29</v>
      </c>
    </row>
    <row r="51" ht="17" customHeight="1">
      <c r="A51" s="26" t="n">
        <v>50</v>
      </c>
      <c r="B51" s="16" t="inlineStr">
        <is>
          <t>Selin Aydın</t>
        </is>
      </c>
      <c r="C51" s="27" t="inlineStr">
        <is>
          <t>Şubat</t>
        </is>
      </c>
      <c r="D51" s="16" t="inlineStr">
        <is>
          <t>Telefon</t>
        </is>
      </c>
      <c r="E51" s="28" t="n">
        <v>32</v>
      </c>
      <c r="F51" s="15" t="n">
        <v>763145.38</v>
      </c>
      <c r="G51" s="15" t="n">
        <v>25000</v>
      </c>
      <c r="H51" s="15" t="n">
        <v>26710.09</v>
      </c>
    </row>
    <row r="52" ht="17" customHeight="1">
      <c r="A52" s="23" t="n">
        <v>51</v>
      </c>
      <c r="B52" s="12" t="inlineStr">
        <is>
          <t>Ahmet Yılmaz</t>
        </is>
      </c>
      <c r="C52" s="24" t="inlineStr">
        <is>
          <t>Mart</t>
        </is>
      </c>
      <c r="D52" s="12" t="inlineStr">
        <is>
          <t>Aksesuar</t>
        </is>
      </c>
      <c r="E52" s="25" t="n">
        <v>45</v>
      </c>
      <c r="F52" s="9" t="n">
        <v>39967.23</v>
      </c>
      <c r="G52" s="9" t="n">
        <v>850</v>
      </c>
      <c r="H52" s="9" t="n">
        <v>1398.85</v>
      </c>
    </row>
    <row r="53" ht="17" customHeight="1">
      <c r="A53" s="26" t="n">
        <v>52</v>
      </c>
      <c r="B53" s="16" t="inlineStr">
        <is>
          <t>Ayşe Kaya</t>
        </is>
      </c>
      <c r="C53" s="27" t="inlineStr">
        <is>
          <t>Nisan</t>
        </is>
      </c>
      <c r="D53" s="16" t="inlineStr">
        <is>
          <t>Kamera</t>
        </is>
      </c>
      <c r="E53" s="28" t="n">
        <v>36</v>
      </c>
      <c r="F53" s="15" t="n">
        <v>637123.02</v>
      </c>
      <c r="G53" s="15" t="n">
        <v>18000</v>
      </c>
      <c r="H53" s="15" t="n">
        <v>22299.31</v>
      </c>
    </row>
    <row r="54" ht="17" customHeight="1">
      <c r="A54" s="23" t="n">
        <v>53</v>
      </c>
      <c r="B54" s="12" t="inlineStr">
        <is>
          <t>Mehmet Demir</t>
        </is>
      </c>
      <c r="C54" s="24" t="inlineStr">
        <is>
          <t>Mayıs</t>
        </is>
      </c>
      <c r="D54" s="12" t="inlineStr">
        <is>
          <t>Tablet</t>
        </is>
      </c>
      <c r="E54" s="25" t="n">
        <v>23</v>
      </c>
      <c r="F54" s="9" t="n">
        <v>168315.5</v>
      </c>
      <c r="G54" s="9" t="n">
        <v>8000</v>
      </c>
      <c r="H54" s="9" t="n">
        <v>5891.04</v>
      </c>
    </row>
    <row r="55" ht="17" customHeight="1">
      <c r="A55" s="26" t="n">
        <v>54</v>
      </c>
      <c r="B55" s="16" t="inlineStr">
        <is>
          <t>Fatma Çelik</t>
        </is>
      </c>
      <c r="C55" s="27" t="inlineStr">
        <is>
          <t>Haziran</t>
        </is>
      </c>
      <c r="D55" s="16" t="inlineStr">
        <is>
          <t>Aksesuar</t>
        </is>
      </c>
      <c r="E55" s="28" t="n">
        <v>14</v>
      </c>
      <c r="F55" s="15" t="n">
        <v>10876.47</v>
      </c>
      <c r="G55" s="15" t="n">
        <v>850</v>
      </c>
      <c r="H55" s="15" t="n">
        <v>380.68</v>
      </c>
    </row>
    <row r="56" ht="17" customHeight="1">
      <c r="A56" s="23" t="n">
        <v>55</v>
      </c>
      <c r="B56" s="12" t="inlineStr">
        <is>
          <t>Ali Şahin</t>
        </is>
      </c>
      <c r="C56" s="24" t="inlineStr">
        <is>
          <t>Temmuz</t>
        </is>
      </c>
      <c r="D56" s="12" t="inlineStr">
        <is>
          <t>Ses Sistemi</t>
        </is>
      </c>
      <c r="E56" s="25" t="n">
        <v>21</v>
      </c>
      <c r="F56" s="9" t="n">
        <v>68884.60000000001</v>
      </c>
      <c r="G56" s="9" t="n">
        <v>3500</v>
      </c>
      <c r="H56" s="9" t="n">
        <v>2410.96</v>
      </c>
    </row>
    <row r="57" ht="17" customHeight="1">
      <c r="A57" s="26" t="n">
        <v>56</v>
      </c>
      <c r="B57" s="16" t="inlineStr">
        <is>
          <t>Zeynep Arslan</t>
        </is>
      </c>
      <c r="C57" s="27" t="inlineStr">
        <is>
          <t>Ağustos</t>
        </is>
      </c>
      <c r="D57" s="16" t="inlineStr">
        <is>
          <t>Tablet</t>
        </is>
      </c>
      <c r="E57" s="28" t="n">
        <v>20</v>
      </c>
      <c r="F57" s="15" t="n">
        <v>148750.57</v>
      </c>
      <c r="G57" s="15" t="n">
        <v>8000</v>
      </c>
      <c r="H57" s="15" t="n">
        <v>5206.27</v>
      </c>
    </row>
    <row r="58" ht="17" customHeight="1">
      <c r="A58" s="23" t="n">
        <v>57</v>
      </c>
      <c r="B58" s="12" t="inlineStr">
        <is>
          <t>Hasan Koç</t>
        </is>
      </c>
      <c r="C58" s="24" t="inlineStr">
        <is>
          <t>Eylül</t>
        </is>
      </c>
      <c r="D58" s="12" t="inlineStr">
        <is>
          <t>Telefon</t>
        </is>
      </c>
      <c r="E58" s="25" t="n">
        <v>27</v>
      </c>
      <c r="F58" s="9" t="n">
        <v>617368.8100000001</v>
      </c>
      <c r="G58" s="9" t="n">
        <v>25000</v>
      </c>
      <c r="H58" s="9" t="n">
        <v>21607.91</v>
      </c>
    </row>
    <row r="59" ht="17" customHeight="1">
      <c r="A59" s="26" t="n">
        <v>58</v>
      </c>
      <c r="B59" s="16" t="inlineStr">
        <is>
          <t>Merve Güler</t>
        </is>
      </c>
      <c r="C59" s="27" t="inlineStr">
        <is>
          <t>Ekim</t>
        </is>
      </c>
      <c r="D59" s="16" t="inlineStr">
        <is>
          <t>Telefon</t>
        </is>
      </c>
      <c r="E59" s="28" t="n">
        <v>36</v>
      </c>
      <c r="F59" s="15" t="n">
        <v>826000.05</v>
      </c>
      <c r="G59" s="15" t="n">
        <v>25000</v>
      </c>
      <c r="H59" s="15" t="n">
        <v>28910</v>
      </c>
    </row>
    <row r="60" ht="17" customHeight="1">
      <c r="A60" s="23" t="n">
        <v>59</v>
      </c>
      <c r="B60" s="12" t="inlineStr">
        <is>
          <t>Emre Yıldız</t>
        </is>
      </c>
      <c r="C60" s="24" t="inlineStr">
        <is>
          <t>Kasım</t>
        </is>
      </c>
      <c r="D60" s="12" t="inlineStr">
        <is>
          <t>Yazıcı</t>
        </is>
      </c>
      <c r="E60" s="25" t="n">
        <v>37</v>
      </c>
      <c r="F60" s="9" t="n">
        <v>159867.09</v>
      </c>
      <c r="G60" s="9" t="n">
        <v>4200</v>
      </c>
      <c r="H60" s="9" t="n">
        <v>5595.35</v>
      </c>
    </row>
    <row r="61" ht="17" customHeight="1">
      <c r="A61" s="26" t="n">
        <v>60</v>
      </c>
      <c r="B61" s="16" t="inlineStr">
        <is>
          <t>Selin Aydın</t>
        </is>
      </c>
      <c r="C61" s="27" t="inlineStr">
        <is>
          <t>Aralık</t>
        </is>
      </c>
      <c r="D61" s="16" t="inlineStr">
        <is>
          <t>Aksesuar</t>
        </is>
      </c>
      <c r="E61" s="28" t="n">
        <v>28</v>
      </c>
      <c r="F61" s="15" t="n">
        <v>25601.22</v>
      </c>
      <c r="G61" s="15" t="n">
        <v>850</v>
      </c>
      <c r="H61" s="15" t="n">
        <v>896.04</v>
      </c>
    </row>
    <row r="62" ht="17" customHeight="1">
      <c r="A62" s="23" t="n">
        <v>61</v>
      </c>
      <c r="B62" s="12" t="inlineStr">
        <is>
          <t>Ahmet Yılmaz</t>
        </is>
      </c>
      <c r="C62" s="24" t="inlineStr">
        <is>
          <t>Ocak</t>
        </is>
      </c>
      <c r="D62" s="12" t="inlineStr">
        <is>
          <t>Aksesuar</t>
        </is>
      </c>
      <c r="E62" s="25" t="n">
        <v>14</v>
      </c>
      <c r="F62" s="9" t="n">
        <v>12124.1</v>
      </c>
      <c r="G62" s="9" t="n">
        <v>850</v>
      </c>
      <c r="H62" s="9" t="n">
        <v>424.34</v>
      </c>
    </row>
    <row r="63" ht="17" customHeight="1">
      <c r="A63" s="26" t="n">
        <v>62</v>
      </c>
      <c r="B63" s="16" t="inlineStr">
        <is>
          <t>Ayşe Kaya</t>
        </is>
      </c>
      <c r="C63" s="27" t="inlineStr">
        <is>
          <t>Şubat</t>
        </is>
      </c>
      <c r="D63" s="16" t="inlineStr">
        <is>
          <t>Monitör</t>
        </is>
      </c>
      <c r="E63" s="28" t="n">
        <v>45</v>
      </c>
      <c r="F63" s="15" t="n">
        <v>262465.22</v>
      </c>
      <c r="G63" s="15" t="n">
        <v>5500</v>
      </c>
      <c r="H63" s="15" t="n">
        <v>9186.280000000001</v>
      </c>
    </row>
    <row r="64" ht="17" customHeight="1">
      <c r="A64" s="23" t="n">
        <v>63</v>
      </c>
      <c r="B64" s="12" t="inlineStr">
        <is>
          <t>Mehmet Demir</t>
        </is>
      </c>
      <c r="C64" s="24" t="inlineStr">
        <is>
          <t>Mart</t>
        </is>
      </c>
      <c r="D64" s="12" t="inlineStr">
        <is>
          <t>Kamera</t>
        </is>
      </c>
      <c r="E64" s="25" t="n">
        <v>5</v>
      </c>
      <c r="F64" s="9" t="n">
        <v>81478.46000000001</v>
      </c>
      <c r="G64" s="9" t="n">
        <v>18000</v>
      </c>
      <c r="H64" s="9" t="n">
        <v>2851.75</v>
      </c>
    </row>
    <row r="65" ht="17" customHeight="1">
      <c r="A65" s="26" t="n">
        <v>64</v>
      </c>
      <c r="B65" s="16" t="inlineStr">
        <is>
          <t>Fatma Çelik</t>
        </is>
      </c>
      <c r="C65" s="27" t="inlineStr">
        <is>
          <t>Nisan</t>
        </is>
      </c>
      <c r="D65" s="16" t="inlineStr">
        <is>
          <t>Monitör</t>
        </is>
      </c>
      <c r="E65" s="28" t="n">
        <v>49</v>
      </c>
      <c r="F65" s="15" t="n">
        <v>258036.43</v>
      </c>
      <c r="G65" s="15" t="n">
        <v>5500</v>
      </c>
      <c r="H65" s="15" t="n">
        <v>9031.27</v>
      </c>
    </row>
    <row r="66" ht="17" customHeight="1">
      <c r="A66" s="23" t="n">
        <v>65</v>
      </c>
      <c r="B66" s="12" t="inlineStr">
        <is>
          <t>Ali Şahin</t>
        </is>
      </c>
      <c r="C66" s="24" t="inlineStr">
        <is>
          <t>Mayıs</t>
        </is>
      </c>
      <c r="D66" s="12" t="inlineStr">
        <is>
          <t>Ses Sistemi</t>
        </is>
      </c>
      <c r="E66" s="25" t="n">
        <v>19</v>
      </c>
      <c r="F66" s="9" t="n">
        <v>65640.53</v>
      </c>
      <c r="G66" s="9" t="n">
        <v>3500</v>
      </c>
      <c r="H66" s="9" t="n">
        <v>2297.42</v>
      </c>
    </row>
    <row r="67" ht="17" customHeight="1">
      <c r="A67" s="26" t="n">
        <v>66</v>
      </c>
      <c r="B67" s="16" t="inlineStr">
        <is>
          <t>Zeynep Arslan</t>
        </is>
      </c>
      <c r="C67" s="27" t="inlineStr">
        <is>
          <t>Haziran</t>
        </is>
      </c>
      <c r="D67" s="16" t="inlineStr">
        <is>
          <t>Aksesuar</t>
        </is>
      </c>
      <c r="E67" s="28" t="n">
        <v>12</v>
      </c>
      <c r="F67" s="15" t="n">
        <v>9269.92</v>
      </c>
      <c r="G67" s="15" t="n">
        <v>850</v>
      </c>
      <c r="H67" s="15" t="n">
        <v>324.45</v>
      </c>
    </row>
    <row r="68" ht="17" customHeight="1">
      <c r="A68" s="23" t="n">
        <v>67</v>
      </c>
      <c r="B68" s="12" t="inlineStr">
        <is>
          <t>Hasan Koç</t>
        </is>
      </c>
      <c r="C68" s="24" t="inlineStr">
        <is>
          <t>Temmuz</t>
        </is>
      </c>
      <c r="D68" s="12" t="inlineStr">
        <is>
          <t>Monitör</t>
        </is>
      </c>
      <c r="E68" s="25" t="n">
        <v>12</v>
      </c>
      <c r="F68" s="9" t="n">
        <v>72188.97</v>
      </c>
      <c r="G68" s="9" t="n">
        <v>5500</v>
      </c>
      <c r="H68" s="9" t="n">
        <v>2526.61</v>
      </c>
    </row>
    <row r="69" ht="17" customHeight="1">
      <c r="A69" s="26" t="n">
        <v>68</v>
      </c>
      <c r="B69" s="16" t="inlineStr">
        <is>
          <t>Merve Güler</t>
        </is>
      </c>
      <c r="C69" s="27" t="inlineStr">
        <is>
          <t>Ağustos</t>
        </is>
      </c>
      <c r="D69" s="16" t="inlineStr">
        <is>
          <t>Aksesuar</t>
        </is>
      </c>
      <c r="E69" s="28" t="n">
        <v>31</v>
      </c>
      <c r="F69" s="15" t="n">
        <v>25379.27</v>
      </c>
      <c r="G69" s="15" t="n">
        <v>850</v>
      </c>
      <c r="H69" s="15" t="n">
        <v>888.27</v>
      </c>
    </row>
    <row r="70" ht="17" customHeight="1">
      <c r="A70" s="23" t="n">
        <v>69</v>
      </c>
      <c r="B70" s="12" t="inlineStr">
        <is>
          <t>Emre Yıldız</t>
        </is>
      </c>
      <c r="C70" s="24" t="inlineStr">
        <is>
          <t>Eylül</t>
        </is>
      </c>
      <c r="D70" s="12" t="inlineStr">
        <is>
          <t>Kamera</t>
        </is>
      </c>
      <c r="E70" s="25" t="n">
        <v>30</v>
      </c>
      <c r="F70" s="9" t="n">
        <v>491788.98</v>
      </c>
      <c r="G70" s="9" t="n">
        <v>18000</v>
      </c>
      <c r="H70" s="9" t="n">
        <v>17212.61</v>
      </c>
    </row>
    <row r="71" ht="17" customHeight="1">
      <c r="A71" s="26" t="n">
        <v>70</v>
      </c>
      <c r="B71" s="16" t="inlineStr">
        <is>
          <t>Selin Aydın</t>
        </is>
      </c>
      <c r="C71" s="27" t="inlineStr">
        <is>
          <t>Ekim</t>
        </is>
      </c>
      <c r="D71" s="16" t="inlineStr">
        <is>
          <t>Monitör</t>
        </is>
      </c>
      <c r="E71" s="28" t="n">
        <v>31</v>
      </c>
      <c r="F71" s="15" t="n">
        <v>153551.23</v>
      </c>
      <c r="G71" s="15" t="n">
        <v>5500</v>
      </c>
      <c r="H71" s="15" t="n">
        <v>5374.29</v>
      </c>
    </row>
    <row r="72" ht="17" customHeight="1">
      <c r="A72" s="23" t="n">
        <v>71</v>
      </c>
      <c r="B72" s="12" t="inlineStr">
        <is>
          <t>Ahmet Yılmaz</t>
        </is>
      </c>
      <c r="C72" s="24" t="inlineStr">
        <is>
          <t>Kasım</t>
        </is>
      </c>
      <c r="D72" s="12" t="inlineStr">
        <is>
          <t>Aksesuar</t>
        </is>
      </c>
      <c r="E72" s="25" t="n">
        <v>43</v>
      </c>
      <c r="F72" s="9" t="n">
        <v>39962.92</v>
      </c>
      <c r="G72" s="9" t="n">
        <v>850</v>
      </c>
      <c r="H72" s="9" t="n">
        <v>1398.7</v>
      </c>
    </row>
    <row r="73" ht="17" customHeight="1">
      <c r="A73" s="26" t="n">
        <v>72</v>
      </c>
      <c r="B73" s="16" t="inlineStr">
        <is>
          <t>Ayşe Kaya</t>
        </is>
      </c>
      <c r="C73" s="27" t="inlineStr">
        <is>
          <t>Aralık</t>
        </is>
      </c>
      <c r="D73" s="16" t="inlineStr">
        <is>
          <t>Aksesuar</t>
        </is>
      </c>
      <c r="E73" s="28" t="n">
        <v>13</v>
      </c>
      <c r="F73" s="15" t="n">
        <v>10126.03</v>
      </c>
      <c r="G73" s="15" t="n">
        <v>850</v>
      </c>
      <c r="H73" s="15" t="n">
        <v>354.41</v>
      </c>
    </row>
    <row r="74" ht="17" customHeight="1">
      <c r="A74" s="23" t="n">
        <v>73</v>
      </c>
      <c r="B74" s="12" t="inlineStr">
        <is>
          <t>Mehmet Demir</t>
        </is>
      </c>
      <c r="C74" s="24" t="inlineStr">
        <is>
          <t>Ocak</t>
        </is>
      </c>
      <c r="D74" s="12" t="inlineStr">
        <is>
          <t>Laptop</t>
        </is>
      </c>
      <c r="E74" s="25" t="n">
        <v>46</v>
      </c>
      <c r="F74" s="9" t="n">
        <v>739955.63</v>
      </c>
      <c r="G74" s="9" t="n">
        <v>15000</v>
      </c>
      <c r="H74" s="9" t="n">
        <v>25898.45</v>
      </c>
    </row>
    <row r="75" ht="17" customHeight="1">
      <c r="A75" s="26" t="n">
        <v>74</v>
      </c>
      <c r="B75" s="16" t="inlineStr">
        <is>
          <t>Fatma Çelik</t>
        </is>
      </c>
      <c r="C75" s="27" t="inlineStr">
        <is>
          <t>Şubat</t>
        </is>
      </c>
      <c r="D75" s="16" t="inlineStr">
        <is>
          <t>Laptop</t>
        </is>
      </c>
      <c r="E75" s="28" t="n">
        <v>42</v>
      </c>
      <c r="F75" s="15" t="n">
        <v>657272.27</v>
      </c>
      <c r="G75" s="15" t="n">
        <v>15000</v>
      </c>
      <c r="H75" s="15" t="n">
        <v>23004.53</v>
      </c>
    </row>
    <row r="76" ht="17" customHeight="1">
      <c r="A76" s="23" t="n">
        <v>75</v>
      </c>
      <c r="B76" s="12" t="inlineStr">
        <is>
          <t>Ali Şahin</t>
        </is>
      </c>
      <c r="C76" s="24" t="inlineStr">
        <is>
          <t>Mart</t>
        </is>
      </c>
      <c r="D76" s="12" t="inlineStr">
        <is>
          <t>Tablet</t>
        </is>
      </c>
      <c r="E76" s="25" t="n">
        <v>32</v>
      </c>
      <c r="F76" s="9" t="n">
        <v>269120.92</v>
      </c>
      <c r="G76" s="9" t="n">
        <v>8000</v>
      </c>
      <c r="H76" s="9" t="n">
        <v>9419.23</v>
      </c>
    </row>
    <row r="77" ht="17" customHeight="1">
      <c r="A77" s="26" t="n">
        <v>76</v>
      </c>
      <c r="B77" s="16" t="inlineStr">
        <is>
          <t>Zeynep Arslan</t>
        </is>
      </c>
      <c r="C77" s="27" t="inlineStr">
        <is>
          <t>Nisan</t>
        </is>
      </c>
      <c r="D77" s="16" t="inlineStr">
        <is>
          <t>Telefon</t>
        </is>
      </c>
      <c r="E77" s="28" t="n">
        <v>26</v>
      </c>
      <c r="F77" s="15" t="n">
        <v>697270.97</v>
      </c>
      <c r="G77" s="15" t="n">
        <v>25000</v>
      </c>
      <c r="H77" s="15" t="n">
        <v>24404.48</v>
      </c>
    </row>
    <row r="78" ht="17" customHeight="1">
      <c r="A78" s="23" t="n">
        <v>77</v>
      </c>
      <c r="B78" s="12" t="inlineStr">
        <is>
          <t>Hasan Koç</t>
        </is>
      </c>
      <c r="C78" s="24" t="inlineStr">
        <is>
          <t>Mayıs</t>
        </is>
      </c>
      <c r="D78" s="12" t="inlineStr">
        <is>
          <t>Ses Sistemi</t>
        </is>
      </c>
      <c r="E78" s="25" t="n">
        <v>32</v>
      </c>
      <c r="F78" s="9" t="n">
        <v>120547.77</v>
      </c>
      <c r="G78" s="9" t="n">
        <v>3500</v>
      </c>
      <c r="H78" s="9" t="n">
        <v>4219.17</v>
      </c>
    </row>
    <row r="79" ht="17" customHeight="1">
      <c r="A79" s="26" t="n">
        <v>78</v>
      </c>
      <c r="B79" s="16" t="inlineStr">
        <is>
          <t>Merve Güler</t>
        </is>
      </c>
      <c r="C79" s="27" t="inlineStr">
        <is>
          <t>Haziran</t>
        </is>
      </c>
      <c r="D79" s="16" t="inlineStr">
        <is>
          <t>Kamera</t>
        </is>
      </c>
      <c r="E79" s="28" t="n">
        <v>33</v>
      </c>
      <c r="F79" s="15" t="n">
        <v>624139.4</v>
      </c>
      <c r="G79" s="15" t="n">
        <v>18000</v>
      </c>
      <c r="H79" s="15" t="n">
        <v>21844.88</v>
      </c>
    </row>
    <row r="80" ht="17" customHeight="1">
      <c r="A80" s="23" t="n">
        <v>79</v>
      </c>
      <c r="B80" s="12" t="inlineStr">
        <is>
          <t>Emre Yıldız</t>
        </is>
      </c>
      <c r="C80" s="24" t="inlineStr">
        <is>
          <t>Temmuz</t>
        </is>
      </c>
      <c r="D80" s="12" t="inlineStr">
        <is>
          <t>Aksesuar</t>
        </is>
      </c>
      <c r="E80" s="25" t="n">
        <v>28</v>
      </c>
      <c r="F80" s="9" t="n">
        <v>24140.07</v>
      </c>
      <c r="G80" s="9" t="n">
        <v>850</v>
      </c>
      <c r="H80" s="9" t="n">
        <v>844.9</v>
      </c>
    </row>
    <row r="81" ht="17" customHeight="1">
      <c r="A81" s="26" t="n">
        <v>80</v>
      </c>
      <c r="B81" s="16" t="inlineStr">
        <is>
          <t>Selin Aydın</t>
        </is>
      </c>
      <c r="C81" s="27" t="inlineStr">
        <is>
          <t>Ağustos</t>
        </is>
      </c>
      <c r="D81" s="16" t="inlineStr">
        <is>
          <t>Kamera</t>
        </is>
      </c>
      <c r="E81" s="28" t="n">
        <v>33</v>
      </c>
      <c r="F81" s="15" t="n">
        <v>567013.58</v>
      </c>
      <c r="G81" s="15" t="n">
        <v>18000</v>
      </c>
      <c r="H81" s="15" t="n">
        <v>19845.48</v>
      </c>
    </row>
    <row r="82" ht="17" customHeight="1">
      <c r="A82" s="23" t="n">
        <v>81</v>
      </c>
      <c r="B82" s="12" t="inlineStr">
        <is>
          <t>Ahmet Yılmaz</t>
        </is>
      </c>
      <c r="C82" s="24" t="inlineStr">
        <is>
          <t>Eylül</t>
        </is>
      </c>
      <c r="D82" s="12" t="inlineStr">
        <is>
          <t>Telefon</t>
        </is>
      </c>
      <c r="E82" s="25" t="n">
        <v>40</v>
      </c>
      <c r="F82" s="9" t="n">
        <v>936606.89</v>
      </c>
      <c r="G82" s="9" t="n">
        <v>25000</v>
      </c>
      <c r="H82" s="9" t="n">
        <v>32781.24</v>
      </c>
    </row>
    <row r="83" ht="17" customHeight="1">
      <c r="A83" s="26" t="n">
        <v>82</v>
      </c>
      <c r="B83" s="16" t="inlineStr">
        <is>
          <t>Ayşe Kaya</t>
        </is>
      </c>
      <c r="C83" s="27" t="inlineStr">
        <is>
          <t>Ekim</t>
        </is>
      </c>
      <c r="D83" s="16" t="inlineStr">
        <is>
          <t>Monitör</t>
        </is>
      </c>
      <c r="E83" s="28" t="n">
        <v>12</v>
      </c>
      <c r="F83" s="15" t="n">
        <v>71378.74000000001</v>
      </c>
      <c r="G83" s="15" t="n">
        <v>5500</v>
      </c>
      <c r="H83" s="15" t="n">
        <v>2498.26</v>
      </c>
    </row>
    <row r="84" ht="17" customHeight="1">
      <c r="A84" s="23" t="n">
        <v>83</v>
      </c>
      <c r="B84" s="12" t="inlineStr">
        <is>
          <t>Mehmet Demir</t>
        </is>
      </c>
      <c r="C84" s="24" t="inlineStr">
        <is>
          <t>Kasım</t>
        </is>
      </c>
      <c r="D84" s="12" t="inlineStr">
        <is>
          <t>Telefon</t>
        </is>
      </c>
      <c r="E84" s="25" t="n">
        <v>46</v>
      </c>
      <c r="F84" s="9" t="n">
        <v>1048985.69</v>
      </c>
      <c r="G84" s="9" t="n">
        <v>25000</v>
      </c>
      <c r="H84" s="9" t="n">
        <v>36714.5</v>
      </c>
    </row>
    <row r="85" ht="17" customHeight="1">
      <c r="A85" s="26" t="n">
        <v>84</v>
      </c>
      <c r="B85" s="16" t="inlineStr">
        <is>
          <t>Fatma Çelik</t>
        </is>
      </c>
      <c r="C85" s="27" t="inlineStr">
        <is>
          <t>Aralık</t>
        </is>
      </c>
      <c r="D85" s="16" t="inlineStr">
        <is>
          <t>Yazıcı</t>
        </is>
      </c>
      <c r="E85" s="28" t="n">
        <v>1</v>
      </c>
      <c r="F85" s="15" t="n">
        <v>4025.08</v>
      </c>
      <c r="G85" s="15" t="n">
        <v>4200</v>
      </c>
      <c r="H85" s="15" t="n">
        <v>140.88</v>
      </c>
    </row>
    <row r="86" ht="17" customHeight="1">
      <c r="A86" s="23" t="n">
        <v>85</v>
      </c>
      <c r="B86" s="12" t="inlineStr">
        <is>
          <t>Ali Şahin</t>
        </is>
      </c>
      <c r="C86" s="24" t="inlineStr">
        <is>
          <t>Ocak</t>
        </is>
      </c>
      <c r="D86" s="12" t="inlineStr">
        <is>
          <t>Ses Sistemi</t>
        </is>
      </c>
      <c r="E86" s="25" t="n">
        <v>24</v>
      </c>
      <c r="F86" s="9" t="n">
        <v>84575.35000000001</v>
      </c>
      <c r="G86" s="9" t="n">
        <v>3500</v>
      </c>
      <c r="H86" s="9" t="n">
        <v>2960.14</v>
      </c>
    </row>
    <row r="87" ht="17" customHeight="1">
      <c r="A87" s="26" t="n">
        <v>86</v>
      </c>
      <c r="B87" s="16" t="inlineStr">
        <is>
          <t>Zeynep Arslan</t>
        </is>
      </c>
      <c r="C87" s="27" t="inlineStr">
        <is>
          <t>Şubat</t>
        </is>
      </c>
      <c r="D87" s="16" t="inlineStr">
        <is>
          <t>Ses Sistemi</t>
        </is>
      </c>
      <c r="E87" s="28" t="n">
        <v>4</v>
      </c>
      <c r="F87" s="15" t="n">
        <v>13470.06</v>
      </c>
      <c r="G87" s="15" t="n">
        <v>3500</v>
      </c>
      <c r="H87" s="15" t="n">
        <v>471.45</v>
      </c>
    </row>
    <row r="88" ht="17" customHeight="1">
      <c r="A88" s="23" t="n">
        <v>87</v>
      </c>
      <c r="B88" s="12" t="inlineStr">
        <is>
          <t>Hasan Koç</t>
        </is>
      </c>
      <c r="C88" s="24" t="inlineStr">
        <is>
          <t>Mart</t>
        </is>
      </c>
      <c r="D88" s="12" t="inlineStr">
        <is>
          <t>Kamera</t>
        </is>
      </c>
      <c r="E88" s="25" t="n">
        <v>13</v>
      </c>
      <c r="F88" s="9" t="n">
        <v>229084.79</v>
      </c>
      <c r="G88" s="9" t="n">
        <v>18000</v>
      </c>
      <c r="H88" s="9" t="n">
        <v>8017.97</v>
      </c>
    </row>
    <row r="89" ht="17" customHeight="1">
      <c r="A89" s="26" t="n">
        <v>88</v>
      </c>
      <c r="B89" s="16" t="inlineStr">
        <is>
          <t>Merve Güler</t>
        </is>
      </c>
      <c r="C89" s="27" t="inlineStr">
        <is>
          <t>Nisan</t>
        </is>
      </c>
      <c r="D89" s="16" t="inlineStr">
        <is>
          <t>Laptop</t>
        </is>
      </c>
      <c r="E89" s="28" t="n">
        <v>4</v>
      </c>
      <c r="F89" s="15" t="n">
        <v>61102.85</v>
      </c>
      <c r="G89" s="15" t="n">
        <v>15000</v>
      </c>
      <c r="H89" s="15" t="n">
        <v>2138.6</v>
      </c>
    </row>
    <row r="90" ht="17" customHeight="1">
      <c r="A90" s="23" t="n">
        <v>89</v>
      </c>
      <c r="B90" s="12" t="inlineStr">
        <is>
          <t>Emre Yıldız</t>
        </is>
      </c>
      <c r="C90" s="24" t="inlineStr">
        <is>
          <t>Mayıs</t>
        </is>
      </c>
      <c r="D90" s="12" t="inlineStr">
        <is>
          <t>Yazıcı</t>
        </is>
      </c>
      <c r="E90" s="25" t="n">
        <v>48</v>
      </c>
      <c r="F90" s="9" t="n">
        <v>183532.21</v>
      </c>
      <c r="G90" s="9" t="n">
        <v>4200</v>
      </c>
      <c r="H90" s="9" t="n">
        <v>6423.63</v>
      </c>
    </row>
    <row r="91" ht="17" customHeight="1">
      <c r="A91" s="26" t="n">
        <v>90</v>
      </c>
      <c r="B91" s="16" t="inlineStr">
        <is>
          <t>Selin Aydın</t>
        </is>
      </c>
      <c r="C91" s="27" t="inlineStr">
        <is>
          <t>Haziran</t>
        </is>
      </c>
      <c r="D91" s="16" t="inlineStr">
        <is>
          <t>Kamera</t>
        </is>
      </c>
      <c r="E91" s="28" t="n">
        <v>16</v>
      </c>
      <c r="F91" s="15" t="n">
        <v>298260.39</v>
      </c>
      <c r="G91" s="15" t="n">
        <v>18000</v>
      </c>
      <c r="H91" s="15" t="n">
        <v>10439.11</v>
      </c>
    </row>
    <row r="92" ht="17" customHeight="1">
      <c r="A92" s="23" t="n">
        <v>91</v>
      </c>
      <c r="B92" s="12" t="inlineStr">
        <is>
          <t>Ahmet Yılmaz</t>
        </is>
      </c>
      <c r="C92" s="24" t="inlineStr">
        <is>
          <t>Temmuz</t>
        </is>
      </c>
      <c r="D92" s="12" t="inlineStr">
        <is>
          <t>Laptop</t>
        </is>
      </c>
      <c r="E92" s="25" t="n">
        <v>46</v>
      </c>
      <c r="F92" s="9" t="n">
        <v>729239.3</v>
      </c>
      <c r="G92" s="9" t="n">
        <v>15000</v>
      </c>
      <c r="H92" s="9" t="n">
        <v>25523.38</v>
      </c>
    </row>
    <row r="93" ht="17" customHeight="1">
      <c r="A93" s="26" t="n">
        <v>92</v>
      </c>
      <c r="B93" s="16" t="inlineStr">
        <is>
          <t>Ayşe Kaya</t>
        </is>
      </c>
      <c r="C93" s="27" t="inlineStr">
        <is>
          <t>Ağustos</t>
        </is>
      </c>
      <c r="D93" s="16" t="inlineStr">
        <is>
          <t>Yazıcı</t>
        </is>
      </c>
      <c r="E93" s="28" t="n">
        <v>49</v>
      </c>
      <c r="F93" s="15" t="n">
        <v>200574.64</v>
      </c>
      <c r="G93" s="15" t="n">
        <v>4200</v>
      </c>
      <c r="H93" s="15" t="n">
        <v>7020.11</v>
      </c>
    </row>
    <row r="94" ht="17" customHeight="1">
      <c r="A94" s="23" t="n">
        <v>93</v>
      </c>
      <c r="B94" s="12" t="inlineStr">
        <is>
          <t>Mehmet Demir</t>
        </is>
      </c>
      <c r="C94" s="24" t="inlineStr">
        <is>
          <t>Eylül</t>
        </is>
      </c>
      <c r="D94" s="12" t="inlineStr">
        <is>
          <t>Yazıcı</t>
        </is>
      </c>
      <c r="E94" s="25" t="n">
        <v>15</v>
      </c>
      <c r="F94" s="9" t="n">
        <v>57681.22</v>
      </c>
      <c r="G94" s="9" t="n">
        <v>4200</v>
      </c>
      <c r="H94" s="9" t="n">
        <v>2018.84</v>
      </c>
    </row>
    <row r="95" ht="17" customHeight="1">
      <c r="A95" s="26" t="n">
        <v>94</v>
      </c>
      <c r="B95" s="16" t="inlineStr">
        <is>
          <t>Fatma Çelik</t>
        </is>
      </c>
      <c r="C95" s="27" t="inlineStr">
        <is>
          <t>Ekim</t>
        </is>
      </c>
      <c r="D95" s="16" t="inlineStr">
        <is>
          <t>Laptop</t>
        </is>
      </c>
      <c r="E95" s="28" t="n">
        <v>41</v>
      </c>
      <c r="F95" s="15" t="n">
        <v>647255.9399999999</v>
      </c>
      <c r="G95" s="15" t="n">
        <v>15000</v>
      </c>
      <c r="H95" s="15" t="n">
        <v>22653.96</v>
      </c>
    </row>
    <row r="96" ht="17" customHeight="1">
      <c r="A96" s="23" t="n">
        <v>95</v>
      </c>
      <c r="B96" s="12" t="inlineStr">
        <is>
          <t>Ali Şahin</t>
        </is>
      </c>
      <c r="C96" s="24" t="inlineStr">
        <is>
          <t>Kasım</t>
        </is>
      </c>
      <c r="D96" s="12" t="inlineStr">
        <is>
          <t>Kamera</t>
        </is>
      </c>
      <c r="E96" s="25" t="n">
        <v>17</v>
      </c>
      <c r="F96" s="9" t="n">
        <v>299898.18</v>
      </c>
      <c r="G96" s="9" t="n">
        <v>18000</v>
      </c>
      <c r="H96" s="9" t="n">
        <v>10496.44</v>
      </c>
    </row>
    <row r="97" ht="17" customHeight="1">
      <c r="A97" s="26" t="n">
        <v>96</v>
      </c>
      <c r="B97" s="16" t="inlineStr">
        <is>
          <t>Zeynep Arslan</t>
        </is>
      </c>
      <c r="C97" s="27" t="inlineStr">
        <is>
          <t>Aralık</t>
        </is>
      </c>
      <c r="D97" s="16" t="inlineStr">
        <is>
          <t>Aksesuar</t>
        </is>
      </c>
      <c r="E97" s="28" t="n">
        <v>11</v>
      </c>
      <c r="F97" s="15" t="n">
        <v>8804.389999999999</v>
      </c>
      <c r="G97" s="15" t="n">
        <v>850</v>
      </c>
      <c r="H97" s="15" t="n">
        <v>308.15</v>
      </c>
    </row>
    <row r="98" ht="17" customHeight="1">
      <c r="A98" s="23" t="n">
        <v>97</v>
      </c>
      <c r="B98" s="12" t="inlineStr">
        <is>
          <t>Hasan Koç</t>
        </is>
      </c>
      <c r="C98" s="24" t="inlineStr">
        <is>
          <t>Ocak</t>
        </is>
      </c>
      <c r="D98" s="12" t="inlineStr">
        <is>
          <t>Telefon</t>
        </is>
      </c>
      <c r="E98" s="25" t="n">
        <v>22</v>
      </c>
      <c r="F98" s="9" t="n">
        <v>547061.6899999999</v>
      </c>
      <c r="G98" s="9" t="n">
        <v>25000</v>
      </c>
      <c r="H98" s="9" t="n">
        <v>19147.16</v>
      </c>
    </row>
    <row r="99" ht="17" customHeight="1">
      <c r="A99" s="26" t="n">
        <v>98</v>
      </c>
      <c r="B99" s="16" t="inlineStr">
        <is>
          <t>Merve Güler</t>
        </is>
      </c>
      <c r="C99" s="27" t="inlineStr">
        <is>
          <t>Şubat</t>
        </is>
      </c>
      <c r="D99" s="16" t="inlineStr">
        <is>
          <t>Telefon</t>
        </is>
      </c>
      <c r="E99" s="28" t="n">
        <v>3</v>
      </c>
      <c r="F99" s="15" t="n">
        <v>82440.25999999999</v>
      </c>
      <c r="G99" s="15" t="n">
        <v>25000</v>
      </c>
      <c r="H99" s="15" t="n">
        <v>2885.41</v>
      </c>
    </row>
    <row r="100" ht="17" customHeight="1">
      <c r="A100" s="23" t="n">
        <v>99</v>
      </c>
      <c r="B100" s="12" t="inlineStr">
        <is>
          <t>Emre Yıldız</t>
        </is>
      </c>
      <c r="C100" s="24" t="inlineStr">
        <is>
          <t>Mart</t>
        </is>
      </c>
      <c r="D100" s="12" t="inlineStr">
        <is>
          <t>Telefon</t>
        </is>
      </c>
      <c r="E100" s="25" t="n">
        <v>13</v>
      </c>
      <c r="F100" s="9" t="n">
        <v>298396.22</v>
      </c>
      <c r="G100" s="9" t="n">
        <v>25000</v>
      </c>
      <c r="H100" s="9" t="n">
        <v>10443.87</v>
      </c>
    </row>
    <row r="101" ht="17" customHeight="1">
      <c r="A101" s="26" t="n">
        <v>100</v>
      </c>
      <c r="B101" s="16" t="inlineStr">
        <is>
          <t>Selin Aydın</t>
        </is>
      </c>
      <c r="C101" s="27" t="inlineStr">
        <is>
          <t>Nisan</t>
        </is>
      </c>
      <c r="D101" s="16" t="inlineStr">
        <is>
          <t>Laptop</t>
        </is>
      </c>
      <c r="E101" s="28" t="n">
        <v>22</v>
      </c>
      <c r="F101" s="15" t="n">
        <v>345194.86</v>
      </c>
      <c r="G101" s="15" t="n">
        <v>15000</v>
      </c>
      <c r="H101" s="15" t="n">
        <v>12081.82</v>
      </c>
    </row>
    <row r="102" ht="17" customHeight="1">
      <c r="A102" s="23" t="n">
        <v>101</v>
      </c>
      <c r="B102" s="12" t="inlineStr">
        <is>
          <t>Ahmet Yılmaz</t>
        </is>
      </c>
      <c r="C102" s="24" t="inlineStr">
        <is>
          <t>Mayıs</t>
        </is>
      </c>
      <c r="D102" s="12" t="inlineStr">
        <is>
          <t>Telefon</t>
        </is>
      </c>
      <c r="E102" s="25" t="n">
        <v>26</v>
      </c>
      <c r="F102" s="9" t="n">
        <v>643168.39</v>
      </c>
      <c r="G102" s="9" t="n">
        <v>25000</v>
      </c>
      <c r="H102" s="9" t="n">
        <v>22510.89</v>
      </c>
    </row>
    <row r="103" ht="17" customHeight="1">
      <c r="A103" s="26" t="n">
        <v>102</v>
      </c>
      <c r="B103" s="16" t="inlineStr">
        <is>
          <t>Ayşe Kaya</t>
        </is>
      </c>
      <c r="C103" s="27" t="inlineStr">
        <is>
          <t>Haziran</t>
        </is>
      </c>
      <c r="D103" s="16" t="inlineStr">
        <is>
          <t>Ses Sistemi</t>
        </is>
      </c>
      <c r="E103" s="28" t="n">
        <v>1</v>
      </c>
      <c r="F103" s="15" t="n">
        <v>3494.72</v>
      </c>
      <c r="G103" s="15" t="n">
        <v>3500</v>
      </c>
      <c r="H103" s="15" t="n">
        <v>122.32</v>
      </c>
    </row>
    <row r="104" ht="17" customHeight="1">
      <c r="A104" s="23" t="n">
        <v>103</v>
      </c>
      <c r="B104" s="12" t="inlineStr">
        <is>
          <t>Mehmet Demir</t>
        </is>
      </c>
      <c r="C104" s="24" t="inlineStr">
        <is>
          <t>Temmuz</t>
        </is>
      </c>
      <c r="D104" s="12" t="inlineStr">
        <is>
          <t>Ses Sistemi</t>
        </is>
      </c>
      <c r="E104" s="25" t="n">
        <v>5</v>
      </c>
      <c r="F104" s="9" t="n">
        <v>19097.39</v>
      </c>
      <c r="G104" s="9" t="n">
        <v>3500</v>
      </c>
      <c r="H104" s="9" t="n">
        <v>668.41</v>
      </c>
    </row>
    <row r="105" ht="17" customHeight="1">
      <c r="A105" s="26" t="n">
        <v>104</v>
      </c>
      <c r="B105" s="16" t="inlineStr">
        <is>
          <t>Fatma Çelik</t>
        </is>
      </c>
      <c r="C105" s="27" t="inlineStr">
        <is>
          <t>Ağustos</t>
        </is>
      </c>
      <c r="D105" s="16" t="inlineStr">
        <is>
          <t>Aksesuar</t>
        </is>
      </c>
      <c r="E105" s="28" t="n">
        <v>18</v>
      </c>
      <c r="F105" s="15" t="n">
        <v>16818.44</v>
      </c>
      <c r="G105" s="15" t="n">
        <v>850</v>
      </c>
      <c r="H105" s="15" t="n">
        <v>588.65</v>
      </c>
    </row>
    <row r="106" ht="17" customHeight="1">
      <c r="A106" s="23" t="n">
        <v>105</v>
      </c>
      <c r="B106" s="12" t="inlineStr">
        <is>
          <t>Ali Şahin</t>
        </is>
      </c>
      <c r="C106" s="24" t="inlineStr">
        <is>
          <t>Eylül</t>
        </is>
      </c>
      <c r="D106" s="12" t="inlineStr">
        <is>
          <t>Kamera</t>
        </is>
      </c>
      <c r="E106" s="25" t="n">
        <v>29</v>
      </c>
      <c r="F106" s="9" t="n">
        <v>553301.98</v>
      </c>
      <c r="G106" s="9" t="n">
        <v>18000</v>
      </c>
      <c r="H106" s="9" t="n">
        <v>19365.57</v>
      </c>
    </row>
    <row r="107" ht="17" customHeight="1">
      <c r="A107" s="26" t="n">
        <v>106</v>
      </c>
      <c r="B107" s="16" t="inlineStr">
        <is>
          <t>Zeynep Arslan</t>
        </is>
      </c>
      <c r="C107" s="27" t="inlineStr">
        <is>
          <t>Ekim</t>
        </is>
      </c>
      <c r="D107" s="16" t="inlineStr">
        <is>
          <t>Yazıcı</t>
        </is>
      </c>
      <c r="E107" s="28" t="n">
        <v>44</v>
      </c>
      <c r="F107" s="15" t="n">
        <v>193587.15</v>
      </c>
      <c r="G107" s="15" t="n">
        <v>4200</v>
      </c>
      <c r="H107" s="15" t="n">
        <v>6775.55</v>
      </c>
    </row>
    <row r="108" ht="17" customHeight="1">
      <c r="A108" s="23" t="n">
        <v>107</v>
      </c>
      <c r="B108" s="12" t="inlineStr">
        <is>
          <t>Hasan Koç</t>
        </is>
      </c>
      <c r="C108" s="24" t="inlineStr">
        <is>
          <t>Kasım</t>
        </is>
      </c>
      <c r="D108" s="12" t="inlineStr">
        <is>
          <t>Yazıcı</t>
        </is>
      </c>
      <c r="E108" s="25" t="n">
        <v>17</v>
      </c>
      <c r="F108" s="9" t="n">
        <v>67286.44</v>
      </c>
      <c r="G108" s="9" t="n">
        <v>4200</v>
      </c>
      <c r="H108" s="9" t="n">
        <v>2355.03</v>
      </c>
    </row>
    <row r="109" ht="17" customHeight="1">
      <c r="A109" s="26" t="n">
        <v>108</v>
      </c>
      <c r="B109" s="16" t="inlineStr">
        <is>
          <t>Merve Güler</t>
        </is>
      </c>
      <c r="C109" s="27" t="inlineStr">
        <is>
          <t>Aralık</t>
        </is>
      </c>
      <c r="D109" s="16" t="inlineStr">
        <is>
          <t>Aksesuar</t>
        </is>
      </c>
      <c r="E109" s="28" t="n">
        <v>6</v>
      </c>
      <c r="F109" s="15" t="n">
        <v>5397.43</v>
      </c>
      <c r="G109" s="15" t="n">
        <v>850</v>
      </c>
      <c r="H109" s="15" t="n">
        <v>188.91</v>
      </c>
    </row>
    <row r="110" ht="17" customHeight="1">
      <c r="A110" s="23" t="n">
        <v>109</v>
      </c>
      <c r="B110" s="12" t="inlineStr">
        <is>
          <t>Emre Yıldız</t>
        </is>
      </c>
      <c r="C110" s="24" t="inlineStr">
        <is>
          <t>Ocak</t>
        </is>
      </c>
      <c r="D110" s="12" t="inlineStr">
        <is>
          <t>Ses Sistemi</t>
        </is>
      </c>
      <c r="E110" s="25" t="n">
        <v>28</v>
      </c>
      <c r="F110" s="9" t="n">
        <v>97136.2</v>
      </c>
      <c r="G110" s="9" t="n">
        <v>3500</v>
      </c>
      <c r="H110" s="9" t="n">
        <v>3399.77</v>
      </c>
    </row>
    <row r="111" ht="17" customHeight="1">
      <c r="A111" s="26" t="n">
        <v>110</v>
      </c>
      <c r="B111" s="16" t="inlineStr">
        <is>
          <t>Selin Aydın</t>
        </is>
      </c>
      <c r="C111" s="27" t="inlineStr">
        <is>
          <t>Şubat</t>
        </is>
      </c>
      <c r="D111" s="16" t="inlineStr">
        <is>
          <t>Yazıcı</t>
        </is>
      </c>
      <c r="E111" s="28" t="n">
        <v>6</v>
      </c>
      <c r="F111" s="15" t="n">
        <v>26651.64</v>
      </c>
      <c r="G111" s="15" t="n">
        <v>4200</v>
      </c>
      <c r="H111" s="15" t="n">
        <v>932.8099999999999</v>
      </c>
    </row>
    <row r="112" ht="17" customHeight="1">
      <c r="A112" s="23" t="n">
        <v>111</v>
      </c>
      <c r="B112" s="12" t="inlineStr">
        <is>
          <t>Ahmet Yılmaz</t>
        </is>
      </c>
      <c r="C112" s="24" t="inlineStr">
        <is>
          <t>Mart</t>
        </is>
      </c>
      <c r="D112" s="12" t="inlineStr">
        <is>
          <t>Kamera</t>
        </is>
      </c>
      <c r="E112" s="25" t="n">
        <v>38</v>
      </c>
      <c r="F112" s="9" t="n">
        <v>747433.8</v>
      </c>
      <c r="G112" s="9" t="n">
        <v>18000</v>
      </c>
      <c r="H112" s="9" t="n">
        <v>26160.18</v>
      </c>
    </row>
    <row r="113" ht="17" customHeight="1">
      <c r="A113" s="26" t="n">
        <v>112</v>
      </c>
      <c r="B113" s="16" t="inlineStr">
        <is>
          <t>Ayşe Kaya</t>
        </is>
      </c>
      <c r="C113" s="27" t="inlineStr">
        <is>
          <t>Nisan</t>
        </is>
      </c>
      <c r="D113" s="16" t="inlineStr">
        <is>
          <t>Tablet</t>
        </is>
      </c>
      <c r="E113" s="28" t="n">
        <v>23</v>
      </c>
      <c r="F113" s="15" t="n">
        <v>175581.37</v>
      </c>
      <c r="G113" s="15" t="n">
        <v>8000</v>
      </c>
      <c r="H113" s="15" t="n">
        <v>6145.35</v>
      </c>
    </row>
    <row r="114" ht="17" customHeight="1">
      <c r="A114" s="23" t="n">
        <v>113</v>
      </c>
      <c r="B114" s="12" t="inlineStr">
        <is>
          <t>Mehmet Demir</t>
        </is>
      </c>
      <c r="C114" s="24" t="inlineStr">
        <is>
          <t>Mayıs</t>
        </is>
      </c>
      <c r="D114" s="12" t="inlineStr">
        <is>
          <t>Telefon</t>
        </is>
      </c>
      <c r="E114" s="25" t="n">
        <v>17</v>
      </c>
      <c r="F114" s="9" t="n">
        <v>405076.6</v>
      </c>
      <c r="G114" s="9" t="n">
        <v>25000</v>
      </c>
      <c r="H114" s="9" t="n">
        <v>14177.68</v>
      </c>
    </row>
    <row r="115" ht="17" customHeight="1">
      <c r="A115" s="26" t="n">
        <v>114</v>
      </c>
      <c r="B115" s="16" t="inlineStr">
        <is>
          <t>Fatma Çelik</t>
        </is>
      </c>
      <c r="C115" s="27" t="inlineStr">
        <is>
          <t>Haziran</t>
        </is>
      </c>
      <c r="D115" s="16" t="inlineStr">
        <is>
          <t>Telefon</t>
        </is>
      </c>
      <c r="E115" s="28" t="n">
        <v>13</v>
      </c>
      <c r="F115" s="15" t="n">
        <v>326542.28</v>
      </c>
      <c r="G115" s="15" t="n">
        <v>25000</v>
      </c>
      <c r="H115" s="15" t="n">
        <v>11428.98</v>
      </c>
    </row>
    <row r="116" ht="17" customHeight="1">
      <c r="A116" s="23" t="n">
        <v>115</v>
      </c>
      <c r="B116" s="12" t="inlineStr">
        <is>
          <t>Ali Şahin</t>
        </is>
      </c>
      <c r="C116" s="24" t="inlineStr">
        <is>
          <t>Temmuz</t>
        </is>
      </c>
      <c r="D116" s="12" t="inlineStr">
        <is>
          <t>Yazıcı</t>
        </is>
      </c>
      <c r="E116" s="25" t="n">
        <v>9</v>
      </c>
      <c r="F116" s="9" t="n">
        <v>38466.79</v>
      </c>
      <c r="G116" s="9" t="n">
        <v>4200</v>
      </c>
      <c r="H116" s="9" t="n">
        <v>1346.34</v>
      </c>
    </row>
    <row r="117" ht="17" customHeight="1">
      <c r="A117" s="26" t="n">
        <v>116</v>
      </c>
      <c r="B117" s="16" t="inlineStr">
        <is>
          <t>Zeynep Arslan</t>
        </is>
      </c>
      <c r="C117" s="27" t="inlineStr">
        <is>
          <t>Ağustos</t>
        </is>
      </c>
      <c r="D117" s="16" t="inlineStr">
        <is>
          <t>Tablet</t>
        </is>
      </c>
      <c r="E117" s="28" t="n">
        <v>10</v>
      </c>
      <c r="F117" s="15" t="n">
        <v>87020.92</v>
      </c>
      <c r="G117" s="15" t="n">
        <v>8000</v>
      </c>
      <c r="H117" s="15" t="n">
        <v>3045.73</v>
      </c>
    </row>
    <row r="118" ht="17" customHeight="1">
      <c r="A118" s="23" t="n">
        <v>117</v>
      </c>
      <c r="B118" s="12" t="inlineStr">
        <is>
          <t>Hasan Koç</t>
        </is>
      </c>
      <c r="C118" s="24" t="inlineStr">
        <is>
          <t>Eylül</t>
        </is>
      </c>
      <c r="D118" s="12" t="inlineStr">
        <is>
          <t>Ses Sistemi</t>
        </is>
      </c>
      <c r="E118" s="25" t="n">
        <v>48</v>
      </c>
      <c r="F118" s="9" t="n">
        <v>183045.59</v>
      </c>
      <c r="G118" s="9" t="n">
        <v>3500</v>
      </c>
      <c r="H118" s="9" t="n">
        <v>6406.6</v>
      </c>
    </row>
    <row r="119" ht="17" customHeight="1">
      <c r="A119" s="26" t="n">
        <v>118</v>
      </c>
      <c r="B119" s="16" t="inlineStr">
        <is>
          <t>Merve Güler</t>
        </is>
      </c>
      <c r="C119" s="27" t="inlineStr">
        <is>
          <t>Ekim</t>
        </is>
      </c>
      <c r="D119" s="16" t="inlineStr">
        <is>
          <t>Telefon</t>
        </is>
      </c>
      <c r="E119" s="28" t="n">
        <v>21</v>
      </c>
      <c r="F119" s="15" t="n">
        <v>532984.3100000001</v>
      </c>
      <c r="G119" s="15" t="n">
        <v>25000</v>
      </c>
      <c r="H119" s="15" t="n">
        <v>18654.45</v>
      </c>
    </row>
    <row r="120" ht="17" customHeight="1">
      <c r="A120" s="23" t="n">
        <v>119</v>
      </c>
      <c r="B120" s="12" t="inlineStr">
        <is>
          <t>Emre Yıldız</t>
        </is>
      </c>
      <c r="C120" s="24" t="inlineStr">
        <is>
          <t>Kasım</t>
        </is>
      </c>
      <c r="D120" s="12" t="inlineStr">
        <is>
          <t>Monitör</t>
        </is>
      </c>
      <c r="E120" s="25" t="n">
        <v>1</v>
      </c>
      <c r="F120" s="9" t="n">
        <v>5540.9</v>
      </c>
      <c r="G120" s="9" t="n">
        <v>5500</v>
      </c>
      <c r="H120" s="9" t="n">
        <v>193.93</v>
      </c>
    </row>
    <row r="121" ht="17" customHeight="1">
      <c r="A121" s="26" t="n">
        <v>120</v>
      </c>
      <c r="B121" s="16" t="inlineStr">
        <is>
          <t>Selin Aydın</t>
        </is>
      </c>
      <c r="C121" s="27" t="inlineStr">
        <is>
          <t>Aralık</t>
        </is>
      </c>
      <c r="D121" s="16" t="inlineStr">
        <is>
          <t>Yazıcı</t>
        </is>
      </c>
      <c r="E121" s="28" t="n">
        <v>4</v>
      </c>
      <c r="F121" s="15" t="n">
        <v>15299.37</v>
      </c>
      <c r="G121" s="15" t="n">
        <v>4200</v>
      </c>
      <c r="H121" s="15" t="n">
        <v>535.48</v>
      </c>
    </row>
  </sheetData>
  <conditionalFormatting sqref="F2:F121">
    <cfRule type="colorScale" priority="1">
      <colorScale>
        <cfvo type="min"/>
        <cfvo type="percentile" val="50"/>
        <cfvo type="max"/>
        <color rgb="00FFAAAA"/>
        <color rgb="00FFFF00"/>
        <color rgb="0000AA00"/>
      </colorScale>
    </cfRule>
  </conditionalFormatting>
  <dataValidations count="1">
    <dataValidation sqref="C2:C1000" showDropDown="0" showInputMessage="0" showErrorMessage="0" allowBlank="0" type="list">
      <formula1>"Ocak,Şubat,Mart,Nisan,Mayıs,Haziran,Temmuz,Ağustos,Eylül,Ekim,Kasım,Aralık"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2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20" customWidth="1" min="2" max="2"/>
    <col width="15" customWidth="1" min="3" max="3"/>
    <col width="18" customWidth="1" min="4" max="4"/>
    <col width="12" customWidth="1" min="5" max="5"/>
    <col width="14" customWidth="1" min="6" max="6"/>
    <col width="12" customWidth="1" min="7" max="7"/>
    <col width="14" customWidth="1" min="8" max="8"/>
    <col width="16" customWidth="1" min="9" max="9"/>
  </cols>
  <sheetData>
    <row r="1" ht="28" customHeight="1">
      <c r="A1" s="7" t="inlineStr">
        <is>
          <t>#</t>
        </is>
      </c>
      <c r="B1" s="7" t="inlineStr">
        <is>
          <t>Ad Soyad</t>
        </is>
      </c>
      <c r="C1" s="7" t="inlineStr">
        <is>
          <t>Departman</t>
        </is>
      </c>
      <c r="D1" s="7" t="inlineStr">
        <is>
          <t>Pozisyon</t>
        </is>
      </c>
      <c r="E1" s="7" t="inlineStr">
        <is>
          <t>İşe Giriş</t>
        </is>
      </c>
      <c r="F1" s="7" t="inlineStr">
        <is>
          <t>Maaş (₺)</t>
        </is>
      </c>
      <c r="G1" s="7" t="inlineStr">
        <is>
          <t>Prim (₺)</t>
        </is>
      </c>
      <c r="H1" s="7" t="inlineStr">
        <is>
          <t>Toplam (₺)</t>
        </is>
      </c>
      <c r="I1" s="7" t="inlineStr">
        <is>
          <t>Performans</t>
        </is>
      </c>
    </row>
    <row r="2" ht="18" customHeight="1">
      <c r="A2" s="24" t="n">
        <v>1</v>
      </c>
      <c r="B2" s="8" t="inlineStr">
        <is>
          <t>Ahmet Yılmaz</t>
        </is>
      </c>
      <c r="C2" s="24" t="inlineStr">
        <is>
          <t>Satış</t>
        </is>
      </c>
      <c r="D2" s="12" t="inlineStr">
        <is>
          <t>Sr. Satış Uzm.</t>
        </is>
      </c>
      <c r="E2" s="29" t="n">
        <v>43558</v>
      </c>
      <c r="F2" s="9" t="n">
        <v>25000</v>
      </c>
      <c r="G2" s="9" t="n">
        <v>2227</v>
      </c>
      <c r="H2" s="10" t="n">
        <v>27227</v>
      </c>
      <c r="I2" s="12" t="inlineStr">
        <is>
          <t>⭐⭐⭐⭐⭐ Mükemmel</t>
        </is>
      </c>
    </row>
    <row r="3" ht="18" customHeight="1">
      <c r="A3" s="27" t="n">
        <v>2</v>
      </c>
      <c r="B3" s="14" t="inlineStr">
        <is>
          <t>Ayşe Kaya</t>
        </is>
      </c>
      <c r="C3" s="27" t="inlineStr">
        <is>
          <t>Satış</t>
        </is>
      </c>
      <c r="D3" s="16" t="inlineStr">
        <is>
          <t>Satış Uzm.</t>
        </is>
      </c>
      <c r="E3" s="30" t="n">
        <v>42906</v>
      </c>
      <c r="F3" s="15" t="n">
        <v>18000</v>
      </c>
      <c r="G3" s="15" t="n">
        <v>3386</v>
      </c>
      <c r="H3" s="10" t="n">
        <v>21386</v>
      </c>
      <c r="I3" s="16" t="inlineStr">
        <is>
          <t>⭐⭐⭐ Orta</t>
        </is>
      </c>
    </row>
    <row r="4" ht="18" customHeight="1">
      <c r="A4" s="24" t="n">
        <v>3</v>
      </c>
      <c r="B4" s="8" t="inlineStr">
        <is>
          <t>Mehmet Demir</t>
        </is>
      </c>
      <c r="C4" s="24" t="inlineStr">
        <is>
          <t>Satış</t>
        </is>
      </c>
      <c r="D4" s="12" t="inlineStr">
        <is>
          <t>Sr. Satış Uzm.</t>
        </is>
      </c>
      <c r="E4" s="29" t="n">
        <v>44750</v>
      </c>
      <c r="F4" s="9" t="n">
        <v>14000</v>
      </c>
      <c r="G4" s="9" t="n">
        <v>3368</v>
      </c>
      <c r="H4" s="10" t="n">
        <v>17368</v>
      </c>
      <c r="I4" s="12" t="inlineStr">
        <is>
          <t>⭐⭐⭐⭐ İyi</t>
        </is>
      </c>
    </row>
    <row r="5" ht="18" customHeight="1">
      <c r="A5" s="27" t="n">
        <v>4</v>
      </c>
      <c r="B5" s="14" t="inlineStr">
        <is>
          <t>Fatma Çelik</t>
        </is>
      </c>
      <c r="C5" s="27" t="inlineStr">
        <is>
          <t>Satış</t>
        </is>
      </c>
      <c r="D5" s="16" t="inlineStr">
        <is>
          <t>Takım Lideri</t>
        </is>
      </c>
      <c r="E5" s="30" t="n">
        <v>43858</v>
      </c>
      <c r="F5" s="15" t="n">
        <v>10000</v>
      </c>
      <c r="G5" s="15" t="n">
        <v>820</v>
      </c>
      <c r="H5" s="10" t="n">
        <v>10820</v>
      </c>
      <c r="I5" s="16" t="inlineStr">
        <is>
          <t>⭐⭐⭐⭐ İyi</t>
        </is>
      </c>
    </row>
    <row r="6" ht="18" customHeight="1">
      <c r="A6" s="24" t="n">
        <v>5</v>
      </c>
      <c r="B6" s="8" t="inlineStr">
        <is>
          <t>Ali Şahin</t>
        </is>
      </c>
      <c r="C6" s="24" t="inlineStr">
        <is>
          <t>Satış</t>
        </is>
      </c>
      <c r="D6" s="12" t="inlineStr">
        <is>
          <t>Jr. Satış Uzm.</t>
        </is>
      </c>
      <c r="E6" s="29" t="n">
        <v>43635</v>
      </c>
      <c r="F6" s="9" t="n">
        <v>8500</v>
      </c>
      <c r="G6" s="9" t="n">
        <v>1755</v>
      </c>
      <c r="H6" s="10" t="n">
        <v>10255</v>
      </c>
      <c r="I6" s="12" t="inlineStr">
        <is>
          <t>⭐⭐ Gelişmeli</t>
        </is>
      </c>
    </row>
    <row r="7" ht="18" customHeight="1">
      <c r="A7" s="27" t="n">
        <v>6</v>
      </c>
      <c r="B7" s="14" t="inlineStr">
        <is>
          <t>Zeynep Arslan</t>
        </is>
      </c>
      <c r="C7" s="27" t="inlineStr">
        <is>
          <t>Satış</t>
        </is>
      </c>
      <c r="D7" s="16" t="inlineStr">
        <is>
          <t>Satış Temsilcisi</t>
        </is>
      </c>
      <c r="E7" s="30" t="n">
        <v>44595</v>
      </c>
      <c r="F7" s="15" t="n">
        <v>7000</v>
      </c>
      <c r="G7" s="15" t="n">
        <v>975</v>
      </c>
      <c r="H7" s="10" t="n">
        <v>7975</v>
      </c>
      <c r="I7" s="16" t="inlineStr">
        <is>
          <t>⭐⭐⭐⭐⭐ Mükemmel</t>
        </is>
      </c>
    </row>
    <row r="8" ht="18" customHeight="1">
      <c r="A8" s="24" t="n">
        <v>7</v>
      </c>
      <c r="B8" s="8" t="inlineStr">
        <is>
          <t>Hasan Koç</t>
        </is>
      </c>
      <c r="C8" s="24" t="inlineStr">
        <is>
          <t>Satış</t>
        </is>
      </c>
      <c r="D8" s="12" t="inlineStr">
        <is>
          <t>Sr. Satış Uzm.</t>
        </is>
      </c>
      <c r="E8" s="29" t="n">
        <v>42485</v>
      </c>
      <c r="F8" s="9" t="n">
        <v>20000</v>
      </c>
      <c r="G8" s="9" t="n">
        <v>4053</v>
      </c>
      <c r="H8" s="10" t="n">
        <v>24053</v>
      </c>
      <c r="I8" s="12" t="inlineStr">
        <is>
          <t>⭐⭐⭐⭐⭐ Mükemmel</t>
        </is>
      </c>
    </row>
    <row r="9" ht="18" customHeight="1">
      <c r="A9" s="27" t="n">
        <v>8</v>
      </c>
      <c r="B9" s="14" t="inlineStr">
        <is>
          <t>Merve Güler</t>
        </is>
      </c>
      <c r="C9" s="27" t="inlineStr">
        <is>
          <t>Satış</t>
        </is>
      </c>
      <c r="D9" s="16" t="inlineStr">
        <is>
          <t>Sr. Satış Uzm.</t>
        </is>
      </c>
      <c r="E9" s="30" t="n">
        <v>43833</v>
      </c>
      <c r="F9" s="15" t="n">
        <v>28000</v>
      </c>
      <c r="G9" s="15" t="n">
        <v>4487</v>
      </c>
      <c r="H9" s="10" t="n">
        <v>32487</v>
      </c>
      <c r="I9" s="16" t="inlineStr">
        <is>
          <t>⭐⭐⭐⭐⭐ Mükemmel</t>
        </is>
      </c>
    </row>
    <row r="10" ht="18" customHeight="1">
      <c r="A10" s="24" t="n">
        <v>9</v>
      </c>
      <c r="B10" s="8" t="inlineStr">
        <is>
          <t>Emre Yıldız</t>
        </is>
      </c>
      <c r="C10" s="24" t="inlineStr">
        <is>
          <t>Satış</t>
        </is>
      </c>
      <c r="D10" s="12" t="inlineStr">
        <is>
          <t>Takım Lideri</t>
        </is>
      </c>
      <c r="E10" s="29" t="n">
        <v>42715</v>
      </c>
      <c r="F10" s="9" t="n">
        <v>16000</v>
      </c>
      <c r="G10" s="9" t="n">
        <v>2543</v>
      </c>
      <c r="H10" s="10" t="n">
        <v>18543</v>
      </c>
      <c r="I10" s="12" t="inlineStr">
        <is>
          <t>⭐⭐⭐ Orta</t>
        </is>
      </c>
    </row>
    <row r="11" ht="18" customHeight="1">
      <c r="A11" s="27" t="n">
        <v>10</v>
      </c>
      <c r="B11" s="14" t="inlineStr">
        <is>
          <t>Selin Aydın</t>
        </is>
      </c>
      <c r="C11" s="27" t="inlineStr">
        <is>
          <t>Satış</t>
        </is>
      </c>
      <c r="D11" s="16" t="inlineStr">
        <is>
          <t>Takım Lideri</t>
        </is>
      </c>
      <c r="E11" s="30" t="n">
        <v>44397</v>
      </c>
      <c r="F11" s="15" t="n">
        <v>12000</v>
      </c>
      <c r="G11" s="15" t="n">
        <v>2095</v>
      </c>
      <c r="H11" s="10" t="n">
        <v>14095</v>
      </c>
      <c r="I11" s="16" t="inlineStr">
        <is>
          <t>⭐⭐⭐⭐⭐ Mükemmel</t>
        </is>
      </c>
    </row>
    <row r="12" ht="18" customHeight="1">
      <c r="A12" s="24" t="n">
        <v>11</v>
      </c>
      <c r="B12" s="8" t="inlineStr">
        <is>
          <t>Burak Öz</t>
        </is>
      </c>
      <c r="C12" s="24" t="inlineStr">
        <is>
          <t>Pazarlama</t>
        </is>
      </c>
      <c r="D12" s="12" t="inlineStr">
        <is>
          <t>Satış Temsilcisi</t>
        </is>
      </c>
      <c r="E12" s="29" t="n">
        <v>43665</v>
      </c>
      <c r="F12" s="9" t="n">
        <v>22000</v>
      </c>
      <c r="G12" s="9" t="n">
        <v>5105</v>
      </c>
      <c r="H12" s="10" t="n">
        <v>27105</v>
      </c>
      <c r="I12" s="12" t="inlineStr">
        <is>
          <t>⭐⭐⭐⭐ İyi</t>
        </is>
      </c>
    </row>
    <row r="13" ht="18" customHeight="1">
      <c r="A13" s="27" t="n">
        <v>12</v>
      </c>
      <c r="B13" s="14" t="inlineStr">
        <is>
          <t>Deniz Şen</t>
        </is>
      </c>
      <c r="C13" s="27" t="inlineStr">
        <is>
          <t>İK</t>
        </is>
      </c>
      <c r="D13" s="16" t="inlineStr">
        <is>
          <t>Stajyer</t>
        </is>
      </c>
      <c r="E13" s="30" t="n">
        <v>42672</v>
      </c>
      <c r="F13" s="15" t="n">
        <v>15000</v>
      </c>
      <c r="G13" s="15" t="n">
        <v>2896</v>
      </c>
      <c r="H13" s="10" t="n">
        <v>17896</v>
      </c>
      <c r="I13" s="16" t="inlineStr">
        <is>
          <t>⭐⭐⭐⭐ İyi</t>
        </is>
      </c>
    </row>
    <row r="14" ht="18" customHeight="1">
      <c r="A14" s="24" t="n">
        <v>13</v>
      </c>
      <c r="B14" s="8" t="inlineStr">
        <is>
          <t>Canan Yurt</t>
        </is>
      </c>
      <c r="C14" s="24" t="inlineStr">
        <is>
          <t>Muhasebe</t>
        </is>
      </c>
      <c r="D14" s="12" t="inlineStr">
        <is>
          <t>Sr. Satış Uzm.</t>
        </is>
      </c>
      <c r="E14" s="29" t="n">
        <v>44637</v>
      </c>
      <c r="F14" s="9" t="n">
        <v>18000</v>
      </c>
      <c r="G14" s="9" t="n">
        <v>3535</v>
      </c>
      <c r="H14" s="10" t="n">
        <v>21535</v>
      </c>
      <c r="I14" s="12" t="inlineStr">
        <is>
          <t>⭐⭐⭐⭐ İyi</t>
        </is>
      </c>
    </row>
    <row r="15" ht="18" customHeight="1">
      <c r="A15" s="27" t="n">
        <v>14</v>
      </c>
      <c r="B15" s="14" t="inlineStr">
        <is>
          <t>Ferhat Bal</t>
        </is>
      </c>
      <c r="C15" s="27" t="inlineStr">
        <is>
          <t>Operasyon</t>
        </is>
      </c>
      <c r="D15" s="16" t="inlineStr">
        <is>
          <t>Takım Lideri</t>
        </is>
      </c>
      <c r="E15" s="30" t="n">
        <v>43526</v>
      </c>
      <c r="F15" s="15" t="n">
        <v>14000</v>
      </c>
      <c r="G15" s="15" t="n">
        <v>2624</v>
      </c>
      <c r="H15" s="10" t="n">
        <v>16624</v>
      </c>
      <c r="I15" s="16" t="inlineStr">
        <is>
          <t>⭐⭐⭐⭐⭐ Mükemmel</t>
        </is>
      </c>
    </row>
    <row r="16" ht="18" customHeight="1">
      <c r="A16" s="24" t="n">
        <v>15</v>
      </c>
      <c r="B16" s="8" t="inlineStr">
        <is>
          <t>Gökhan Alp</t>
        </is>
      </c>
      <c r="C16" s="24" t="inlineStr">
        <is>
          <t>IT</t>
        </is>
      </c>
      <c r="D16" s="12" t="inlineStr">
        <is>
          <t>Jr. Satış Uzm.</t>
        </is>
      </c>
      <c r="E16" s="29" t="n">
        <v>43777</v>
      </c>
      <c r="F16" s="9" t="n">
        <v>30000</v>
      </c>
      <c r="G16" s="9" t="n">
        <v>3893</v>
      </c>
      <c r="H16" s="10" t="n">
        <v>33893</v>
      </c>
      <c r="I16" s="12" t="inlineStr">
        <is>
          <t>⭐⭐⭐⭐ İyi</t>
        </is>
      </c>
    </row>
    <row r="17" ht="18" customHeight="1">
      <c r="A17" s="27" t="n">
        <v>16</v>
      </c>
      <c r="B17" s="14" t="inlineStr">
        <is>
          <t>Hülya Tan</t>
        </is>
      </c>
      <c r="C17" s="27" t="inlineStr">
        <is>
          <t>Satış</t>
        </is>
      </c>
      <c r="D17" s="16" t="inlineStr">
        <is>
          <t>Satış Temsilcisi</t>
        </is>
      </c>
      <c r="E17" s="30" t="n">
        <v>43238</v>
      </c>
      <c r="F17" s="15" t="n">
        <v>25000</v>
      </c>
      <c r="G17" s="15" t="n">
        <v>5863</v>
      </c>
      <c r="H17" s="10" t="n">
        <v>30863</v>
      </c>
      <c r="I17" s="16" t="inlineStr">
        <is>
          <t>⭐⭐⭐⭐ İyi</t>
        </is>
      </c>
    </row>
    <row r="18" ht="18" customHeight="1">
      <c r="A18" s="24" t="n">
        <v>17</v>
      </c>
      <c r="B18" s="8" t="inlineStr">
        <is>
          <t>İbrahim Nas</t>
        </is>
      </c>
      <c r="C18" s="24" t="inlineStr">
        <is>
          <t>Satış</t>
        </is>
      </c>
      <c r="D18" s="12" t="inlineStr">
        <is>
          <t>Takım Lideri</t>
        </is>
      </c>
      <c r="E18" s="29" t="n">
        <v>42588</v>
      </c>
      <c r="F18" s="9" t="n">
        <v>20000</v>
      </c>
      <c r="G18" s="9" t="n">
        <v>4502</v>
      </c>
      <c r="H18" s="10" t="n">
        <v>24502</v>
      </c>
      <c r="I18" s="12" t="inlineStr">
        <is>
          <t>⭐⭐⭐ Orta</t>
        </is>
      </c>
    </row>
    <row r="19" ht="18" customHeight="1">
      <c r="A19" s="27" t="n">
        <v>18</v>
      </c>
      <c r="B19" s="14" t="inlineStr">
        <is>
          <t>Jale Mert</t>
        </is>
      </c>
      <c r="C19" s="27" t="inlineStr">
        <is>
          <t>Satış</t>
        </is>
      </c>
      <c r="D19" s="16" t="inlineStr">
        <is>
          <t>Satış Uzm.</t>
        </is>
      </c>
      <c r="E19" s="30" t="n">
        <v>43703</v>
      </c>
      <c r="F19" s="15" t="n">
        <v>17000</v>
      </c>
      <c r="G19" s="15" t="n">
        <v>3932</v>
      </c>
      <c r="H19" s="10" t="n">
        <v>20932</v>
      </c>
      <c r="I19" s="16" t="inlineStr">
        <is>
          <t>⭐⭐⭐ Orta</t>
        </is>
      </c>
    </row>
    <row r="20" ht="18" customHeight="1">
      <c r="A20" s="24" t="n">
        <v>19</v>
      </c>
      <c r="B20" s="8" t="inlineStr">
        <is>
          <t>Kadir Ak</t>
        </is>
      </c>
      <c r="C20" s="24" t="inlineStr">
        <is>
          <t>Satış</t>
        </is>
      </c>
      <c r="D20" s="12" t="inlineStr">
        <is>
          <t>Stajyer</t>
        </is>
      </c>
      <c r="E20" s="29" t="n">
        <v>42799</v>
      </c>
      <c r="F20" s="9" t="n">
        <v>13000</v>
      </c>
      <c r="G20" s="9" t="n">
        <v>1108</v>
      </c>
      <c r="H20" s="10" t="n">
        <v>14108</v>
      </c>
      <c r="I20" s="12" t="inlineStr">
        <is>
          <t>⭐⭐⭐⭐ İyi</t>
        </is>
      </c>
    </row>
    <row r="21" ht="18" customHeight="1">
      <c r="A21" s="27" t="n">
        <v>20</v>
      </c>
      <c r="B21" s="14" t="inlineStr">
        <is>
          <t>Leyla Öner</t>
        </is>
      </c>
      <c r="C21" s="27" t="inlineStr">
        <is>
          <t>Satış</t>
        </is>
      </c>
      <c r="D21" s="16" t="inlineStr">
        <is>
          <t>Jr. Satış Uzm.</t>
        </is>
      </c>
      <c r="E21" s="30" t="n">
        <v>42476</v>
      </c>
      <c r="F21" s="15" t="n">
        <v>9000</v>
      </c>
      <c r="G21" s="15" t="n">
        <v>1807</v>
      </c>
      <c r="H21" s="10" t="n">
        <v>10807</v>
      </c>
      <c r="I21" s="16" t="inlineStr">
        <is>
          <t>⭐⭐⭐ Orta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20" customWidth="1" min="2" max="2"/>
    <col width="14" customWidth="1" min="3" max="3"/>
    <col width="12" customWidth="1" min="4" max="4"/>
    <col width="14" customWidth="1" min="5" max="5"/>
    <col width="12" customWidth="1" min="6" max="6"/>
    <col width="16" customWidth="1" min="7" max="7"/>
    <col width="14" customWidth="1" min="8" max="8"/>
  </cols>
  <sheetData>
    <row r="1" ht="28" customHeight="1">
      <c r="A1" s="7" t="inlineStr">
        <is>
          <t>#</t>
        </is>
      </c>
      <c r="B1" s="7" t="inlineStr">
        <is>
          <t>Ürün Adı</t>
        </is>
      </c>
      <c r="C1" s="7" t="inlineStr">
        <is>
          <t>Kategori</t>
        </is>
      </c>
      <c r="D1" s="7" t="inlineStr">
        <is>
          <t>Stok Adedi</t>
        </is>
      </c>
      <c r="E1" s="7" t="inlineStr">
        <is>
          <t>Min. Stok</t>
        </is>
      </c>
      <c r="F1" s="7" t="inlineStr">
        <is>
          <t>Birim Fiyat (₺)</t>
        </is>
      </c>
      <c r="G1" s="7" t="inlineStr">
        <is>
          <t>Toplam Değer (₺)</t>
        </is>
      </c>
      <c r="H1" s="7" t="inlineStr">
        <is>
          <t>Durum</t>
        </is>
      </c>
    </row>
    <row r="2" ht="18" customHeight="1">
      <c r="A2" s="31" t="n">
        <v>1</v>
      </c>
      <c r="B2" s="32" t="inlineStr">
        <is>
          <t>Laptop Pro 14</t>
        </is>
      </c>
      <c r="C2" s="31" t="inlineStr">
        <is>
          <t>Bilgisayar</t>
        </is>
      </c>
      <c r="D2" s="33" t="n">
        <v>45</v>
      </c>
      <c r="E2" s="34" t="n">
        <v>10</v>
      </c>
      <c r="F2" s="35" t="n">
        <v>18500</v>
      </c>
      <c r="G2" s="36" t="n">
        <v>832500</v>
      </c>
      <c r="H2" s="13" t="inlineStr">
        <is>
          <t>🟢 Yeterli</t>
        </is>
      </c>
    </row>
    <row r="3" ht="18" customHeight="1">
      <c r="A3" s="31" t="n">
        <v>2</v>
      </c>
      <c r="B3" s="32" t="inlineStr">
        <is>
          <t>Telefon X15</t>
        </is>
      </c>
      <c r="C3" s="31" t="inlineStr">
        <is>
          <t>Mobil</t>
        </is>
      </c>
      <c r="D3" s="33" t="n">
        <v>120</v>
      </c>
      <c r="E3" s="34" t="n">
        <v>20</v>
      </c>
      <c r="F3" s="35" t="n">
        <v>28000</v>
      </c>
      <c r="G3" s="36" t="n">
        <v>3360000</v>
      </c>
      <c r="H3" s="13" t="inlineStr">
        <is>
          <t>🟢 Yeterli</t>
        </is>
      </c>
    </row>
    <row r="4" ht="18" customHeight="1">
      <c r="A4" s="37" t="n">
        <v>3</v>
      </c>
      <c r="B4" s="38" t="inlineStr">
        <is>
          <t>Tablet Ultra</t>
        </is>
      </c>
      <c r="C4" s="37" t="inlineStr">
        <is>
          <t>Mobil</t>
        </is>
      </c>
      <c r="D4" s="39" t="n">
        <v>8</v>
      </c>
      <c r="E4" s="40" t="n">
        <v>15</v>
      </c>
      <c r="F4" s="41" t="n">
        <v>9500</v>
      </c>
      <c r="G4" s="42" t="n">
        <v>76000</v>
      </c>
      <c r="H4" s="43" t="inlineStr">
        <is>
          <t>🔴 KRİTİK STOK</t>
        </is>
      </c>
    </row>
    <row r="5" ht="18" customHeight="1">
      <c r="A5" s="31" t="n">
        <v>4</v>
      </c>
      <c r="B5" s="32" t="inlineStr">
        <is>
          <t>Monitör 27"</t>
        </is>
      </c>
      <c r="C5" s="31" t="inlineStr">
        <is>
          <t>Ekipman</t>
        </is>
      </c>
      <c r="D5" s="33" t="n">
        <v>32</v>
      </c>
      <c r="E5" s="34" t="n">
        <v>8</v>
      </c>
      <c r="F5" s="35" t="n">
        <v>6200</v>
      </c>
      <c r="G5" s="36" t="n">
        <v>198400</v>
      </c>
      <c r="H5" s="13" t="inlineStr">
        <is>
          <t>🟢 Yeterli</t>
        </is>
      </c>
    </row>
    <row r="6" ht="18" customHeight="1">
      <c r="A6" s="31" t="n">
        <v>5</v>
      </c>
      <c r="B6" s="32" t="inlineStr">
        <is>
          <t>Kablosuz Klavye</t>
        </is>
      </c>
      <c r="C6" s="31" t="inlineStr">
        <is>
          <t>Aksesuar</t>
        </is>
      </c>
      <c r="D6" s="33" t="n">
        <v>95</v>
      </c>
      <c r="E6" s="34" t="n">
        <v>25</v>
      </c>
      <c r="F6" s="35" t="n">
        <v>950</v>
      </c>
      <c r="G6" s="36" t="n">
        <v>90250</v>
      </c>
      <c r="H6" s="13" t="inlineStr">
        <is>
          <t>🟢 Yeterli</t>
        </is>
      </c>
    </row>
    <row r="7" ht="18" customHeight="1">
      <c r="A7" s="37" t="n">
        <v>6</v>
      </c>
      <c r="B7" s="38" t="inlineStr">
        <is>
          <t>Gaming Mouse</t>
        </is>
      </c>
      <c r="C7" s="37" t="inlineStr">
        <is>
          <t>Aksesuar</t>
        </is>
      </c>
      <c r="D7" s="39" t="n">
        <v>5</v>
      </c>
      <c r="E7" s="40" t="n">
        <v>20</v>
      </c>
      <c r="F7" s="41" t="n">
        <v>750</v>
      </c>
      <c r="G7" s="42" t="n">
        <v>3750</v>
      </c>
      <c r="H7" s="43" t="inlineStr">
        <is>
          <t>🔴 KRİTİK STOK</t>
        </is>
      </c>
    </row>
    <row r="8" ht="18" customHeight="1">
      <c r="A8" s="44" t="n">
        <v>7</v>
      </c>
      <c r="B8" s="45" t="inlineStr">
        <is>
          <t>Kulaklık Pro</t>
        </is>
      </c>
      <c r="C8" s="44" t="inlineStr">
        <is>
          <t>Ses</t>
        </is>
      </c>
      <c r="D8" s="46" t="n">
        <v>18</v>
      </c>
      <c r="E8" s="47" t="n">
        <v>10</v>
      </c>
      <c r="F8" s="48" t="n">
        <v>2800</v>
      </c>
      <c r="G8" s="49" t="n">
        <v>50400</v>
      </c>
      <c r="H8" s="50" t="inlineStr">
        <is>
          <t>🟡 Dikkat</t>
        </is>
      </c>
    </row>
    <row r="9" ht="18" customHeight="1">
      <c r="A9" s="44" t="n">
        <v>8</v>
      </c>
      <c r="B9" s="45" t="inlineStr">
        <is>
          <t>Lazer Yazıcı</t>
        </is>
      </c>
      <c r="C9" s="44" t="inlineStr">
        <is>
          <t>Yazıcı</t>
        </is>
      </c>
      <c r="D9" s="46" t="n">
        <v>12</v>
      </c>
      <c r="E9" s="47" t="n">
        <v>5</v>
      </c>
      <c r="F9" s="48" t="n">
        <v>4800</v>
      </c>
      <c r="G9" s="49" t="n">
        <v>57600</v>
      </c>
      <c r="H9" s="51" t="inlineStr">
        <is>
          <t>🟢 Yeterli</t>
        </is>
      </c>
    </row>
    <row r="10" ht="18" customHeight="1">
      <c r="A10" s="37" t="n">
        <v>9</v>
      </c>
      <c r="B10" s="38" t="inlineStr">
        <is>
          <t>Aksiyon Kamera</t>
        </is>
      </c>
      <c r="C10" s="37" t="inlineStr">
        <is>
          <t>Kamera</t>
        </is>
      </c>
      <c r="D10" s="39" t="n">
        <v>3</v>
      </c>
      <c r="E10" s="40" t="n">
        <v>8</v>
      </c>
      <c r="F10" s="41" t="n">
        <v>22000</v>
      </c>
      <c r="G10" s="42" t="n">
        <v>66000</v>
      </c>
      <c r="H10" s="43" t="inlineStr">
        <is>
          <t>🔴 KRİTİK STOK</t>
        </is>
      </c>
    </row>
    <row r="11" ht="18" customHeight="1">
      <c r="A11" s="31" t="n">
        <v>10</v>
      </c>
      <c r="B11" s="32" t="inlineStr">
        <is>
          <t>Soundbar 2.1</t>
        </is>
      </c>
      <c r="C11" s="31" t="inlineStr">
        <is>
          <t>Ses</t>
        </is>
      </c>
      <c r="D11" s="33" t="n">
        <v>22</v>
      </c>
      <c r="E11" s="34" t="n">
        <v>7</v>
      </c>
      <c r="F11" s="35" t="n">
        <v>4200</v>
      </c>
      <c r="G11" s="36" t="n">
        <v>92400</v>
      </c>
      <c r="H11" s="13" t="inlineStr">
        <is>
          <t>🟢 Yeterli</t>
        </is>
      </c>
    </row>
    <row r="12" ht="18" customHeight="1">
      <c r="A12" s="31" t="n">
        <v>11</v>
      </c>
      <c r="B12" s="32" t="inlineStr">
        <is>
          <t>USB-C Hub</t>
        </is>
      </c>
      <c r="C12" s="31" t="inlineStr">
        <is>
          <t>Aksesuar</t>
        </is>
      </c>
      <c r="D12" s="33" t="n">
        <v>156</v>
      </c>
      <c r="E12" s="34" t="n">
        <v>30</v>
      </c>
      <c r="F12" s="35" t="n">
        <v>480</v>
      </c>
      <c r="G12" s="36" t="n">
        <v>74880</v>
      </c>
      <c r="H12" s="13" t="inlineStr">
        <is>
          <t>🟢 Yeterli</t>
        </is>
      </c>
    </row>
    <row r="13" ht="18" customHeight="1">
      <c r="A13" s="31" t="n">
        <v>12</v>
      </c>
      <c r="B13" s="32" t="inlineStr">
        <is>
          <t>SSD 1TB</t>
        </is>
      </c>
      <c r="C13" s="31" t="inlineStr">
        <is>
          <t>Depolama</t>
        </is>
      </c>
      <c r="D13" s="33" t="n">
        <v>78</v>
      </c>
      <c r="E13" s="34" t="n">
        <v>20</v>
      </c>
      <c r="F13" s="35" t="n">
        <v>1850</v>
      </c>
      <c r="G13" s="36" t="n">
        <v>144300</v>
      </c>
      <c r="H13" s="13" t="inlineStr">
        <is>
          <t>🟢 Yeterli</t>
        </is>
      </c>
    </row>
    <row r="14" ht="18" customHeight="1">
      <c r="A14" s="37" t="n">
        <v>13</v>
      </c>
      <c r="B14" s="38" t="inlineStr">
        <is>
          <t>RAM 16GB</t>
        </is>
      </c>
      <c r="C14" s="37" t="inlineStr">
        <is>
          <t>Donanım</t>
        </is>
      </c>
      <c r="D14" s="39" t="n">
        <v>4</v>
      </c>
      <c r="E14" s="40" t="n">
        <v>15</v>
      </c>
      <c r="F14" s="41" t="n">
        <v>2200</v>
      </c>
      <c r="G14" s="42" t="n">
        <v>8800</v>
      </c>
      <c r="H14" s="43" t="inlineStr">
        <is>
          <t>🔴 KRİTİK STOK</t>
        </is>
      </c>
    </row>
    <row r="15" ht="18" customHeight="1">
      <c r="A15" s="31" t="n">
        <v>14</v>
      </c>
      <c r="B15" s="32" t="inlineStr">
        <is>
          <t>Webcam HD</t>
        </is>
      </c>
      <c r="C15" s="31" t="inlineStr">
        <is>
          <t>Video</t>
        </is>
      </c>
      <c r="D15" s="33" t="n">
        <v>35</v>
      </c>
      <c r="E15" s="34" t="n">
        <v>10</v>
      </c>
      <c r="F15" s="35" t="n">
        <v>1200</v>
      </c>
      <c r="G15" s="36" t="n">
        <v>42000</v>
      </c>
      <c r="H15" s="13" t="inlineStr">
        <is>
          <t>🟢 Yeterli</t>
        </is>
      </c>
    </row>
    <row r="16" ht="18" customHeight="1">
      <c r="A16" s="31" t="n">
        <v>15</v>
      </c>
      <c r="B16" s="32" t="inlineStr">
        <is>
          <t>Laptop Çantası</t>
        </is>
      </c>
      <c r="C16" s="31" t="inlineStr">
        <is>
          <t>Aksesuar</t>
        </is>
      </c>
      <c r="D16" s="33" t="n">
        <v>63</v>
      </c>
      <c r="E16" s="34" t="n">
        <v>15</v>
      </c>
      <c r="F16" s="35" t="n">
        <v>650</v>
      </c>
      <c r="G16" s="36" t="n">
        <v>40950</v>
      </c>
      <c r="H16" s="13" t="inlineStr">
        <is>
          <t>🟢 Yeterli</t>
        </is>
      </c>
    </row>
    <row r="17">
      <c r="F17" s="52" t="inlineStr">
        <is>
          <t>TOPLAM DEĞER:</t>
        </is>
      </c>
      <c r="G17" s="53">
        <f>SUM(G2:G16)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14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6" customWidth="1" min="2" max="2"/>
    <col width="18" customWidth="1" min="3" max="3"/>
    <col width="12" customWidth="1" min="4" max="4"/>
    <col width="14" customWidth="1" min="5" max="5"/>
    <col width="16" customWidth="1" min="6" max="6"/>
    <col width="14" customWidth="1" min="7" max="7"/>
    <col width="14" customWidth="1" min="8" max="8"/>
  </cols>
  <sheetData>
    <row r="1" ht="28" customHeight="1">
      <c r="A1" s="7" t="inlineStr">
        <is>
          <t>Ay</t>
        </is>
      </c>
      <c r="B1" s="7" t="inlineStr">
        <is>
          <t>Hedef (₺)</t>
        </is>
      </c>
      <c r="C1" s="7" t="inlineStr">
        <is>
          <t>Gerçekleşen (₺)</t>
        </is>
      </c>
      <c r="D1" s="7" t="inlineStr">
        <is>
          <t>Fark (₺)</t>
        </is>
      </c>
      <c r="E1" s="7" t="inlineStr">
        <is>
          <t>Başarı %</t>
        </is>
      </c>
      <c r="F1" s="7" t="inlineStr">
        <is>
          <t>Satışçı Sayısı</t>
        </is>
      </c>
      <c r="G1" s="7" t="inlineStr">
        <is>
          <t>Ort./Kişi</t>
        </is>
      </c>
      <c r="H1" s="7" t="inlineStr">
        <is>
          <t>Durum</t>
        </is>
      </c>
    </row>
    <row r="2" ht="18" customHeight="1">
      <c r="A2" s="8" t="inlineStr">
        <is>
          <t>Ocak</t>
        </is>
      </c>
      <c r="B2" s="9" t="n">
        <v>850000</v>
      </c>
      <c r="C2" s="54" t="n">
        <v>887615</v>
      </c>
      <c r="D2" s="10" t="n">
        <v>37615</v>
      </c>
      <c r="E2" s="11" t="n">
        <v>1.04425294117647</v>
      </c>
      <c r="F2" s="24" t="n">
        <v>8</v>
      </c>
      <c r="G2" s="9" t="n">
        <v>110952</v>
      </c>
      <c r="H2" s="12" t="n">
        <v>1.005933856317093</v>
      </c>
    </row>
    <row r="3" ht="18" customHeight="1">
      <c r="A3" s="14" t="inlineStr">
        <is>
          <t>Şubat</t>
        </is>
      </c>
      <c r="B3" s="15" t="n">
        <v>920000</v>
      </c>
      <c r="C3" s="55" t="n">
        <v>956378</v>
      </c>
      <c r="D3" s="10" t="n">
        <v>36378</v>
      </c>
      <c r="E3" s="11" t="n">
        <v>1.039541304347826</v>
      </c>
      <c r="F3" s="27" t="n">
        <v>7</v>
      </c>
      <c r="G3" s="15" t="n">
        <v>136625</v>
      </c>
      <c r="H3" s="16" t="inlineStr">
        <is>
          <t>✅ Hedef Aşıldı</t>
        </is>
      </c>
    </row>
    <row r="4" ht="18" customHeight="1">
      <c r="A4" s="8" t="inlineStr">
        <is>
          <t>Mart</t>
        </is>
      </c>
      <c r="B4" s="9" t="n">
        <v>780000</v>
      </c>
      <c r="C4" s="54" t="n">
        <v>861908</v>
      </c>
      <c r="D4" s="10" t="n">
        <v>81908</v>
      </c>
      <c r="E4" s="11" t="n">
        <v>1.105010256410256</v>
      </c>
      <c r="F4" s="24" t="n">
        <v>8</v>
      </c>
      <c r="G4" s="9" t="n">
        <v>107738</v>
      </c>
      <c r="H4" s="12" t="inlineStr">
        <is>
          <t>✅ Hedef Aşıldı</t>
        </is>
      </c>
    </row>
    <row r="5" ht="18" customHeight="1">
      <c r="A5" s="14" t="inlineStr">
        <is>
          <t>Nisan</t>
        </is>
      </c>
      <c r="B5" s="15" t="n">
        <v>1050000</v>
      </c>
      <c r="C5" s="55" t="n">
        <v>1042769</v>
      </c>
      <c r="D5" s="17" t="n">
        <v>-7231</v>
      </c>
      <c r="E5" s="18" t="n">
        <v>0.9931133333333333</v>
      </c>
      <c r="F5" s="27" t="n">
        <v>10</v>
      </c>
      <c r="G5" s="15" t="n">
        <v>104277</v>
      </c>
      <c r="H5" s="16" t="inlineStr">
        <is>
          <t>⚠️ Yakın</t>
        </is>
      </c>
    </row>
    <row r="6" ht="18" customHeight="1">
      <c r="A6" s="8" t="inlineStr">
        <is>
          <t>Mayıs</t>
        </is>
      </c>
      <c r="B6" s="9" t="n">
        <v>980000</v>
      </c>
      <c r="C6" s="54" t="n">
        <v>1128527</v>
      </c>
      <c r="D6" s="10" t="n">
        <v>148527</v>
      </c>
      <c r="E6" s="11" t="n">
        <v>1.151558163265306</v>
      </c>
      <c r="F6" s="24" t="n">
        <v>10</v>
      </c>
      <c r="G6" s="9" t="n">
        <v>112853</v>
      </c>
      <c r="H6" s="12" t="inlineStr">
        <is>
          <t>✅ Hedef Aşıldı</t>
        </is>
      </c>
    </row>
    <row r="7" ht="18" customHeight="1">
      <c r="A7" s="14" t="inlineStr">
        <is>
          <t>Haziran</t>
        </is>
      </c>
      <c r="B7" s="15" t="n">
        <v>1120000</v>
      </c>
      <c r="C7" s="55" t="n">
        <v>1122423</v>
      </c>
      <c r="D7" s="10" t="n">
        <v>2423</v>
      </c>
      <c r="E7" s="11" t="n">
        <v>1.002163392857143</v>
      </c>
      <c r="F7" s="27" t="n">
        <v>9</v>
      </c>
      <c r="G7" s="15" t="n">
        <v>124714</v>
      </c>
      <c r="H7" s="16" t="inlineStr">
        <is>
          <t>✅ Hedef Aşıldı</t>
        </is>
      </c>
    </row>
    <row r="8" ht="18" customHeight="1">
      <c r="A8" s="8" t="inlineStr">
        <is>
          <t>Temmuz</t>
        </is>
      </c>
      <c r="B8" s="9" t="n">
        <v>890000</v>
      </c>
      <c r="C8" s="54" t="n">
        <v>837222</v>
      </c>
      <c r="D8" s="17" t="n">
        <v>-52778</v>
      </c>
      <c r="E8" s="18" t="n">
        <v>0.9406988764044943</v>
      </c>
      <c r="F8" s="24" t="n">
        <v>7</v>
      </c>
      <c r="G8" s="9" t="n">
        <v>119603</v>
      </c>
      <c r="H8" s="12" t="inlineStr">
        <is>
          <t>⚠️ Yakın</t>
        </is>
      </c>
    </row>
    <row r="9" ht="18" customHeight="1">
      <c r="A9" s="14" t="inlineStr">
        <is>
          <t>Ağustos</t>
        </is>
      </c>
      <c r="B9" s="15" t="n">
        <v>960000</v>
      </c>
      <c r="C9" s="55" t="n">
        <v>1062155</v>
      </c>
      <c r="D9" s="10" t="n">
        <v>102155</v>
      </c>
      <c r="E9" s="11" t="n">
        <v>1.106411458333333</v>
      </c>
      <c r="F9" s="27" t="n">
        <v>10</v>
      </c>
      <c r="G9" s="15" t="n">
        <v>106216</v>
      </c>
      <c r="H9" s="16" t="inlineStr">
        <is>
          <t>✅ Hedef Aşıldı</t>
        </is>
      </c>
    </row>
    <row r="10" ht="18" customHeight="1">
      <c r="A10" s="8" t="inlineStr">
        <is>
          <t>Eylül</t>
        </is>
      </c>
      <c r="B10" s="9" t="n">
        <v>1030000</v>
      </c>
      <c r="C10" s="54" t="n">
        <v>919557</v>
      </c>
      <c r="D10" s="17" t="n">
        <v>-110443</v>
      </c>
      <c r="E10" s="18" t="n">
        <v>0.8927737864077669</v>
      </c>
      <c r="F10" s="24" t="n">
        <v>8</v>
      </c>
      <c r="G10" s="9" t="n">
        <v>114945</v>
      </c>
      <c r="H10" s="12" t="inlineStr">
        <is>
          <t>⚠️ Yakın</t>
        </is>
      </c>
    </row>
    <row r="11" ht="18" customHeight="1">
      <c r="A11" s="14" t="inlineStr">
        <is>
          <t>Ekim</t>
        </is>
      </c>
      <c r="B11" s="15" t="n">
        <v>1200000</v>
      </c>
      <c r="C11" s="55" t="n">
        <v>1139259</v>
      </c>
      <c r="D11" s="17" t="n">
        <v>-60741</v>
      </c>
      <c r="E11" s="18" t="n">
        <v>0.9493825</v>
      </c>
      <c r="F11" s="27" t="n">
        <v>6</v>
      </c>
      <c r="G11" s="15" t="n">
        <v>189876</v>
      </c>
      <c r="H11" s="16" t="inlineStr">
        <is>
          <t>⚠️ Yakın</t>
        </is>
      </c>
    </row>
    <row r="12" ht="18" customHeight="1">
      <c r="A12" s="8" t="inlineStr">
        <is>
          <t>Kasım</t>
        </is>
      </c>
      <c r="B12" s="9" t="n">
        <v>950000</v>
      </c>
      <c r="C12" s="54" t="n">
        <v>932817</v>
      </c>
      <c r="D12" s="17" t="n">
        <v>-17183</v>
      </c>
      <c r="E12" s="18" t="n">
        <v>0.9819126315789474</v>
      </c>
      <c r="F12" s="24" t="n">
        <v>8</v>
      </c>
      <c r="G12" s="9" t="n">
        <v>116602</v>
      </c>
      <c r="H12" s="12" t="inlineStr">
        <is>
          <t>⚠️ Yakın</t>
        </is>
      </c>
    </row>
    <row r="13" ht="18" customHeight="1">
      <c r="A13" s="14" t="inlineStr">
        <is>
          <t>Aralık</t>
        </is>
      </c>
      <c r="B13" s="15" t="n">
        <v>1380000</v>
      </c>
      <c r="C13" s="55" t="n">
        <v>1291229</v>
      </c>
      <c r="D13" s="17" t="n">
        <v>-88771</v>
      </c>
      <c r="E13" s="18" t="n">
        <v>0.9356731884057971</v>
      </c>
      <c r="F13" s="27" t="n">
        <v>6</v>
      </c>
      <c r="G13" s="15" t="n">
        <v>215205</v>
      </c>
      <c r="H13" s="16" t="inlineStr">
        <is>
          <t>⚠️ Yakın</t>
        </is>
      </c>
    </row>
    <row r="14" ht="22" customHeight="1">
      <c r="A14" s="20" t="inlineStr">
        <is>
          <t>YILLIK TOPLAM</t>
        </is>
      </c>
      <c r="B14" s="21" t="n">
        <v>12110000</v>
      </c>
      <c r="C14" s="21" t="n">
        <v>12181859</v>
      </c>
      <c r="D14" s="21" t="n">
        <v>71859</v>
      </c>
      <c r="E14" s="22" t="n">
        <v>1.005933856317093</v>
      </c>
      <c r="F14" s="20" t="inlineStr"/>
      <c r="G14" s="20" t="inlineStr"/>
      <c r="H14" s="20" t="inlineStr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27"/>
  <sheetViews>
    <sheetView showGridLines="0" showRowColHeaders="0" workbookViewId="0">
      <selection activeCell="A1" sqref="A1"/>
    </sheetView>
  </sheetViews>
  <sheetFormatPr baseColWidth="8" defaultRowHeight="15"/>
  <cols>
    <col width="25" customWidth="1" min="1" max="1"/>
    <col width="25" customWidth="1" min="2" max="2"/>
    <col width="25" customWidth="1" min="3" max="3"/>
    <col width="25" customWidth="1" min="4" max="4"/>
    <col width="25" customWidth="1" min="5" max="5"/>
    <col width="25" customWidth="1" min="6" max="6"/>
    <col width="25" customWidth="1" min="7" max="7"/>
    <col width="25" customWidth="1" min="8" max="8"/>
  </cols>
  <sheetData>
    <row r="1" ht="45" customHeight="1">
      <c r="A1" s="56" t="inlineStr">
        <is>
          <t>⚡ MAKRO KONTROL PANELİ</t>
        </is>
      </c>
    </row>
    <row r="2" ht="22" customHeight="1">
      <c r="A2" s="57" t="inlineStr">
        <is>
          <t>Aşağıdaki makroları Excel'de Geliştirici &gt; Makrolar menüsünden çalıştırın</t>
        </is>
      </c>
    </row>
    <row r="3" ht="22" customHeight="1"/>
    <row r="4" ht="32" customHeight="1">
      <c r="A4" s="58" t="inlineStr">
        <is>
          <t>🔄 DashboardYenile</t>
        </is>
      </c>
      <c r="D4" s="59" t="inlineStr">
        <is>
          <t>Dashboard verilerini yeniler ve güncelleme bildirimi gösterir.</t>
        </is>
      </c>
    </row>
    <row r="5" ht="18" customHeight="1"/>
    <row r="6" ht="8" customHeight="1"/>
    <row r="7" ht="32" customHeight="1">
      <c r="A7" s="60" t="inlineStr">
        <is>
          <t>📋 RaporOlustur</t>
        </is>
      </c>
      <c r="D7" s="59" t="inlineStr">
        <is>
          <t>Tüm satış verilerinden otomatik rapor sayfası oluşturur.</t>
        </is>
      </c>
    </row>
    <row r="8" ht="18" customHeight="1"/>
    <row r="9" ht="8" customHeight="1"/>
    <row r="10" ht="32" customHeight="1">
      <c r="A10" s="61" t="inlineStr">
        <is>
          <t>🔴 DusukStokUyarisi</t>
        </is>
      </c>
      <c r="D10" s="59" t="inlineStr">
        <is>
          <t>Kritik stok seviyesindeki ürünleri tespit eder ve renklendirir.</t>
        </is>
      </c>
    </row>
    <row r="11" ht="18" customHeight="1"/>
    <row r="12" ht="8" customHeight="1"/>
    <row r="13" ht="32" customHeight="1">
      <c r="A13" s="62" t="inlineStr">
        <is>
          <t>📄 PDFAktar</t>
        </is>
      </c>
      <c r="D13" s="59" t="inlineStr">
        <is>
          <t>Dashboard sayfasını masaüstüne PDF olarak kaydeder.</t>
        </is>
      </c>
    </row>
    <row r="14" ht="18" customHeight="1"/>
    <row r="15" ht="8" customHeight="1"/>
    <row r="16" ht="32" customHeight="1">
      <c r="A16" s="63" t="inlineStr">
        <is>
          <t>🔁 HedefTemizleYenile</t>
        </is>
      </c>
      <c r="D16" s="59" t="inlineStr">
        <is>
          <t>Hedef takip sayfasını rastgele verilerle yeniler.</t>
        </is>
      </c>
    </row>
    <row r="17" ht="18" customHeight="1"/>
    <row r="18" ht="8" customHeight="1"/>
    <row r="19" ht="32" customHeight="1">
      <c r="A19" s="64" t="inlineStr">
        <is>
          <t>🖨️ YazdirimayiHazirla</t>
        </is>
      </c>
      <c r="D19" s="59" t="inlineStr">
        <is>
          <t>Tüm sayfaları A4 yazdırmaya hazır hale getirir.</t>
        </is>
      </c>
    </row>
    <row r="20" ht="18" customHeight="1"/>
    <row r="21" ht="8" customHeight="1"/>
    <row r="22" ht="22" customHeight="1">
      <c r="A22" s="65" t="inlineStr">
        <is>
          <t>💡 NASIL ÇALIŞTIRILIR?</t>
        </is>
      </c>
    </row>
    <row r="23" ht="20" customHeight="1">
      <c r="A23" s="66" t="inlineStr">
        <is>
          <t>1. Excel'de 'Geliştirici' sekmesine gidin (görünmüyorsa: Dosya &gt; Seçenekler &gt; Şeridi Özelleştir &gt; Geliştirici'yi işaretleyin)</t>
        </is>
      </c>
    </row>
    <row r="24" ht="20" customHeight="1">
      <c r="A24" s="67" t="inlineStr">
        <is>
          <t>2. 'Makrolar' düğmesine tıklayın (ALT + F8 kısayolu)</t>
        </is>
      </c>
    </row>
    <row r="25" ht="20" customHeight="1">
      <c r="A25" s="66" t="inlineStr">
        <is>
          <t>3. Listeden çalıştırmak istediğiniz makroyu seçin</t>
        </is>
      </c>
    </row>
    <row r="26" ht="20" customHeight="1">
      <c r="A26" s="67" t="inlineStr">
        <is>
          <t>4. 'Çalıştır' düğmesine basın</t>
        </is>
      </c>
    </row>
    <row r="27" ht="20" customHeight="1">
      <c r="A27" s="66" t="inlineStr">
        <is>
          <t>5. VBA editörü için: ALT + F11 kısayolunu kullanın</t>
        </is>
      </c>
    </row>
    <row r="28" ht="22" customHeight="1"/>
    <row r="29" ht="22" customHeight="1"/>
  </sheetData>
  <mergeCells count="20">
    <mergeCell ref="D10:H10"/>
    <mergeCell ref="A24:H24"/>
    <mergeCell ref="D19:H19"/>
    <mergeCell ref="A1:H1"/>
    <mergeCell ref="A25:H25"/>
    <mergeCell ref="D13:H13"/>
    <mergeCell ref="A4:C4"/>
    <mergeCell ref="A27:H27"/>
    <mergeCell ref="A10:C10"/>
    <mergeCell ref="D7:H7"/>
    <mergeCell ref="A13:C13"/>
    <mergeCell ref="A19:C19"/>
    <mergeCell ref="A26:H26"/>
    <mergeCell ref="D16:H16"/>
    <mergeCell ref="A2:H2"/>
    <mergeCell ref="A23:H23"/>
    <mergeCell ref="D4:H4"/>
    <mergeCell ref="A22:H22"/>
    <mergeCell ref="A7:C7"/>
    <mergeCell ref="A16:C1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2026-07-01T11:58:32Z</dcterms:created>
  <dcterms:modified xsi:type="dcterms:W3CDTF">2026-07-01T11:58:32Z</dcterms:modified>
</cp:coreProperties>
</file>